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showVerticalScroll="0" xWindow="-120" yWindow="-120" windowWidth="19440" windowHeight="11040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B4" i="4"/>
  <c r="C3" i="2"/>
  <c r="B3" i="2"/>
  <c r="E4" i="4"/>
  <c r="D4" i="4"/>
  <c r="D3" i="2" l="1"/>
  <c r="E3" i="2"/>
</calcChain>
</file>

<file path=xl/sharedStrings.xml><?xml version="1.0" encoding="utf-8"?>
<sst xmlns="http://schemas.openxmlformats.org/spreadsheetml/2006/main" count="39" uniqueCount="26">
  <si>
    <t>S No</t>
  </si>
  <si>
    <t>Source of Income</t>
  </si>
  <si>
    <t>Amount</t>
  </si>
  <si>
    <t>Source of Expenses</t>
  </si>
  <si>
    <t>Date</t>
  </si>
  <si>
    <t>Income</t>
  </si>
  <si>
    <t>Expernses</t>
  </si>
  <si>
    <t>profit</t>
  </si>
  <si>
    <t>loss</t>
  </si>
  <si>
    <t>DEEPAK EDUWORLD</t>
  </si>
  <si>
    <t>Income Expenses Balance Sheet 2021-2022</t>
  </si>
  <si>
    <t>income</t>
  </si>
  <si>
    <t>expenses</t>
  </si>
  <si>
    <t>Income / Expenses Balance Sheet 2026</t>
  </si>
  <si>
    <t>Pocket Money</t>
  </si>
  <si>
    <t>Scholarship</t>
  </si>
  <si>
    <t>Internship stiphend</t>
  </si>
  <si>
    <t>Hostel Rent</t>
  </si>
  <si>
    <t>Food &amp; Snacks</t>
  </si>
  <si>
    <t>Mobile Recharge</t>
  </si>
  <si>
    <t xml:space="preserve">Travel </t>
  </si>
  <si>
    <t>Shopping</t>
  </si>
  <si>
    <t xml:space="preserve">Books </t>
  </si>
  <si>
    <t>Online Courses</t>
  </si>
  <si>
    <t>Health</t>
  </si>
  <si>
    <t>Movie &amp; Outings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</si>
</sst>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theme="0" tint="-0.499984740745262"/>
      </bottom>
      <diagonal/>
    </border>
    <border>
      <left/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/>
    <xf numFmtId="0" fontId="0" fillId="2" borderId="0" xfId="0" applyFill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0" borderId="0" xfId="0" applyAlignment="1">
      <alignment horizontal="left" inden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 indent="1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8" xfId="0" applyFill="1" applyBorder="1"/>
    <xf numFmtId="0" fontId="0" fillId="3" borderId="9" xfId="0" applyFill="1" applyBorder="1" applyAlignment="1">
      <alignment horizontal="left" indent="1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/>
    <xf numFmtId="0" fontId="2" fillId="2" borderId="6" xfId="0" applyFont="1" applyFill="1" applyBorder="1" applyAlignment="1">
      <alignment horizontal="left" indent="1"/>
    </xf>
    <xf numFmtId="3" fontId="0" fillId="0" borderId="0" xfId="0" applyNumberFormat="1"/>
    <xf numFmtId="0" fontId="0" fillId="2" borderId="11" xfId="0" applyFill="1" applyBorder="1"/>
    <xf numFmtId="0" fontId="0" fillId="5" borderId="0" xfId="0" applyFill="1"/>
    <xf numFmtId="0" fontId="0" fillId="5" borderId="0" xfId="0" applyFill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4" xfId="0" applyFont="1" applyFill="1" applyBorder="1"/>
    <xf numFmtId="0" fontId="2" fillId="2" borderId="15" xfId="0" applyFont="1" applyFill="1" applyBorder="1" applyAlignment="1">
      <alignment horizontal="left" indent="1"/>
    </xf>
    <xf numFmtId="0" fontId="0" fillId="0" borderId="16" xfId="0" applyBorder="1" applyAlignment="1">
      <alignment horizontal="left"/>
    </xf>
    <xf numFmtId="0" fontId="0" fillId="0" borderId="12" xfId="0" applyBorder="1"/>
    <xf numFmtId="0" fontId="0" fillId="0" borderId="17" xfId="0" applyBorder="1"/>
    <xf numFmtId="0" fontId="0" fillId="0" borderId="18" xfId="0" applyBorder="1" applyAlignment="1">
      <alignment horizontal="left"/>
    </xf>
    <xf numFmtId="0" fontId="0" fillId="0" borderId="19" xfId="0" applyBorder="1"/>
    <xf numFmtId="0" fontId="0" fillId="0" borderId="20" xfId="0" applyBorder="1"/>
    <xf numFmtId="0" fontId="5" fillId="2" borderId="11" xfId="0" applyFont="1" applyFill="1" applyBorder="1" applyAlignment="1">
      <alignment horizontal="left"/>
    </xf>
    <xf numFmtId="0" fontId="1" fillId="5" borderId="11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 indent="1"/>
    </xf>
    <xf numFmtId="0" fontId="3" fillId="6" borderId="10" xfId="0" applyFont="1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10" xfId="0" applyFill="1" applyBorder="1"/>
    <xf numFmtId="0" fontId="0" fillId="6" borderId="10" xfId="0" applyFill="1" applyBorder="1" applyAlignment="1">
      <alignment horizontal="left" indent="1"/>
    </xf>
    <xf numFmtId="0" fontId="4" fillId="6" borderId="10" xfId="0" applyFont="1" applyFill="1" applyBorder="1" applyAlignment="1">
      <alignment horizontal="center"/>
    </xf>
  </cellXfs>
  <cellStyles count="1">
    <cellStyle name="Normal" xfId="0" builtinId="0"/>
  </cellStyles>
  <dxfs count="31">
    <dxf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bottom style="thin">
          <color theme="0" tint="-0.34998626667073579"/>
        </bottom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 tint="4.9989318521683403E-2"/>
        <name val="Calibri"/>
        <scheme val="minor"/>
      </font>
    </dxf>
    <dxf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 tint="4.9989318521683403E-2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5" Type="http://schemas.microsoft.com/office/2007/relationships/hdphoto" Target="../media/hdphoto2.wdp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933450</xdr:colOff>
      <xdr:row>3</xdr:row>
      <xdr:rowOff>123826</xdr:rowOff>
    </xdr:from>
    <xdr:to>
      <xdr:col>9</xdr:col>
      <xdr:colOff>904875</xdr:colOff>
      <xdr:row>7</xdr:row>
      <xdr:rowOff>47626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4C2D0182-71AC-43DD-B9D2-543B7F6F223E}"/>
            </a:ext>
          </a:extLst>
        </xdr:cNvPr>
        <xdr:cNvSpPr/>
      </xdr:nvSpPr>
      <xdr:spPr>
        <a:xfrm>
          <a:off x="9153525" y="942976"/>
          <a:ext cx="2619375" cy="885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38100</xdr:colOff>
      <xdr:row>3</xdr:row>
      <xdr:rowOff>133351</xdr:rowOff>
    </xdr:from>
    <xdr:to>
      <xdr:col>3</xdr:col>
      <xdr:colOff>676275</xdr:colOff>
      <xdr:row>7</xdr:row>
      <xdr:rowOff>57151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xmlns="" id="{E45C2745-C650-4FCA-9DDF-15C260FD61B2}"/>
            </a:ext>
          </a:extLst>
        </xdr:cNvPr>
        <xdr:cNvSpPr/>
      </xdr:nvSpPr>
      <xdr:spPr>
        <a:xfrm>
          <a:off x="381000" y="952501"/>
          <a:ext cx="2495550" cy="885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1000125</xdr:colOff>
      <xdr:row>3</xdr:row>
      <xdr:rowOff>133351</xdr:rowOff>
    </xdr:from>
    <xdr:to>
      <xdr:col>4</xdr:col>
      <xdr:colOff>914400</xdr:colOff>
      <xdr:row>7</xdr:row>
      <xdr:rowOff>57151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xmlns="" id="{39028C77-C8D4-4F89-947F-7F6966988B28}"/>
            </a:ext>
          </a:extLst>
        </xdr:cNvPr>
        <xdr:cNvSpPr/>
      </xdr:nvSpPr>
      <xdr:spPr>
        <a:xfrm>
          <a:off x="3019425" y="714376"/>
          <a:ext cx="2562225" cy="885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361950</xdr:colOff>
      <xdr:row>3</xdr:row>
      <xdr:rowOff>142876</xdr:rowOff>
    </xdr:from>
    <xdr:to>
      <xdr:col>8</xdr:col>
      <xdr:colOff>552450</xdr:colOff>
      <xdr:row>7</xdr:row>
      <xdr:rowOff>66676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xmlns="" id="{E3DE8AE5-B3C5-467C-B1E9-E0791DEF9A10}"/>
            </a:ext>
          </a:extLst>
        </xdr:cNvPr>
        <xdr:cNvSpPr/>
      </xdr:nvSpPr>
      <xdr:spPr>
        <a:xfrm>
          <a:off x="5962650" y="723901"/>
          <a:ext cx="2628900" cy="8858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381000</xdr:colOff>
      <xdr:row>3</xdr:row>
      <xdr:rowOff>142876</xdr:rowOff>
    </xdr:from>
    <xdr:to>
      <xdr:col>3</xdr:col>
      <xdr:colOff>1143000</xdr:colOff>
      <xdr:row>6</xdr:row>
      <xdr:rowOff>174215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xmlns="" id="{2685AE8D-4FD4-4E27-A86A-6489547CD1FC}"/>
            </a:ext>
          </a:extLst>
        </xdr:cNvPr>
        <xdr:cNvSpPr/>
      </xdr:nvSpPr>
      <xdr:spPr>
        <a:xfrm>
          <a:off x="1028700" y="619126"/>
          <a:ext cx="2066925" cy="7457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6">
                  <a:lumMod val="50000"/>
                </a:schemeClr>
              </a:solidFill>
            </a:rPr>
            <a:t>Total Income</a:t>
          </a:r>
        </a:p>
      </xdr:txBody>
    </xdr:sp>
    <xdr:clientData/>
  </xdr:twoCellAnchor>
  <xdr:twoCellAnchor editAs="oneCell">
    <xdr:from>
      <xdr:col>1</xdr:col>
      <xdr:colOff>123825</xdr:colOff>
      <xdr:row>4</xdr:row>
      <xdr:rowOff>24708</xdr:rowOff>
    </xdr:from>
    <xdr:to>
      <xdr:col>2</xdr:col>
      <xdr:colOff>123824</xdr:colOff>
      <xdr:row>6</xdr:row>
      <xdr:rowOff>209376</xdr:rowOff>
    </xdr:to>
    <xdr:pic>
      <xdr:nvPicPr>
        <xdr:cNvPr id="19" name="Picture 18" descr="Download Dollar Clipart Psd - Bag Of Money Icon Png Transparent Png  (#770172) - PinClipart">
          <a:extLst>
            <a:ext uri="{FF2B5EF4-FFF2-40B4-BE49-F238E27FC236}">
              <a16:creationId xmlns:a16="http://schemas.microsoft.com/office/drawing/2014/main" xmlns="" id="{CDC6C3C7-8902-4679-8E0B-D2329E19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739083"/>
          <a:ext cx="552449" cy="660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1000124</xdr:colOff>
      <xdr:row>3</xdr:row>
      <xdr:rowOff>161923</xdr:rowOff>
    </xdr:from>
    <xdr:to>
      <xdr:col>3</xdr:col>
      <xdr:colOff>1781175</xdr:colOff>
      <xdr:row>6</xdr:row>
      <xdr:rowOff>219074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xmlns="" id="{5D95787D-5E0E-4DC5-A4C2-2B5C89E6D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rot="443976">
          <a:off x="2952749" y="638173"/>
          <a:ext cx="781051" cy="781051"/>
        </a:xfrm>
        <a:prstGeom prst="rect">
          <a:avLst/>
        </a:prstGeom>
      </xdr:spPr>
    </xdr:pic>
    <xdr:clientData/>
  </xdr:twoCellAnchor>
  <xdr:twoCellAnchor editAs="oneCell">
    <xdr:from>
      <xdr:col>5</xdr:col>
      <xdr:colOff>361950</xdr:colOff>
      <xdr:row>4</xdr:row>
      <xdr:rowOff>76199</xdr:rowOff>
    </xdr:from>
    <xdr:to>
      <xdr:col>6</xdr:col>
      <xdr:colOff>495300</xdr:colOff>
      <xdr:row>7</xdr:row>
      <xdr:rowOff>843</xdr:rowOff>
    </xdr:to>
    <xdr:pic>
      <xdr:nvPicPr>
        <xdr:cNvPr id="22" name="Picture 21" descr="Profit Png Pic - Profit Icon Png, Transparent Png , Transparent Png Image -  PNGitem">
          <a:extLst>
            <a:ext uri="{FF2B5EF4-FFF2-40B4-BE49-F238E27FC236}">
              <a16:creationId xmlns:a16="http://schemas.microsoft.com/office/drawing/2014/main" xmlns="" id="{F31C7CD3-E7DC-434E-92AE-E7DB72F9E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790574"/>
          <a:ext cx="714375" cy="639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942975</xdr:colOff>
      <xdr:row>3</xdr:row>
      <xdr:rowOff>219075</xdr:rowOff>
    </xdr:from>
    <xdr:to>
      <xdr:col>8</xdr:col>
      <xdr:colOff>1666874</xdr:colOff>
      <xdr:row>6</xdr:row>
      <xdr:rowOff>219074</xdr:rowOff>
    </xdr:to>
    <xdr:pic>
      <xdr:nvPicPr>
        <xdr:cNvPr id="23" name="Picture 22" descr="Business loss Icon - Download in Glyph Style">
          <a:extLst>
            <a:ext uri="{FF2B5EF4-FFF2-40B4-BE49-F238E27FC236}">
              <a16:creationId xmlns:a16="http://schemas.microsoft.com/office/drawing/2014/main" xmlns="" id="{065E0FFE-D636-42B6-92A0-DAAF9890B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9675" y="695325"/>
          <a:ext cx="723899" cy="72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1838325</xdr:colOff>
      <xdr:row>3</xdr:row>
      <xdr:rowOff>133351</xdr:rowOff>
    </xdr:from>
    <xdr:to>
      <xdr:col>5</xdr:col>
      <xdr:colOff>342900</xdr:colOff>
      <xdr:row>6</xdr:row>
      <xdr:rowOff>164690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xmlns="" id="{5352FC15-AE68-4436-B83D-45E38AF242B8}"/>
            </a:ext>
          </a:extLst>
        </xdr:cNvPr>
        <xdr:cNvSpPr/>
      </xdr:nvSpPr>
      <xdr:spPr>
        <a:xfrm>
          <a:off x="3790950" y="609601"/>
          <a:ext cx="2066925" cy="7457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1">
                  <a:lumMod val="75000"/>
                </a:schemeClr>
              </a:solidFill>
            </a:rPr>
            <a:t>Total Expenses</a:t>
          </a:r>
        </a:p>
      </xdr:txBody>
    </xdr:sp>
    <xdr:clientData/>
  </xdr:twoCellAnchor>
  <xdr:twoCellAnchor>
    <xdr:from>
      <xdr:col>7</xdr:col>
      <xdr:colOff>114300</xdr:colOff>
      <xdr:row>3</xdr:row>
      <xdr:rowOff>142876</xdr:rowOff>
    </xdr:from>
    <xdr:to>
      <xdr:col>8</xdr:col>
      <xdr:colOff>876300</xdr:colOff>
      <xdr:row>6</xdr:row>
      <xdr:rowOff>174215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xmlns="" id="{B5160F47-A40E-4CB8-BD9C-F73D66A35384}"/>
            </a:ext>
          </a:extLst>
        </xdr:cNvPr>
        <xdr:cNvSpPr/>
      </xdr:nvSpPr>
      <xdr:spPr>
        <a:xfrm>
          <a:off x="6696075" y="619126"/>
          <a:ext cx="2066925" cy="7457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4">
                  <a:lumMod val="50000"/>
                </a:schemeClr>
              </a:solidFill>
            </a:rPr>
            <a:t>Total Profit</a:t>
          </a:r>
        </a:p>
      </xdr:txBody>
    </xdr:sp>
    <xdr:clientData/>
  </xdr:twoCellAnchor>
  <xdr:twoCellAnchor>
    <xdr:from>
      <xdr:col>8</xdr:col>
      <xdr:colOff>1876425</xdr:colOff>
      <xdr:row>3</xdr:row>
      <xdr:rowOff>133351</xdr:rowOff>
    </xdr:from>
    <xdr:to>
      <xdr:col>10</xdr:col>
      <xdr:colOff>381000</xdr:colOff>
      <xdr:row>6</xdr:row>
      <xdr:rowOff>164690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xmlns="" id="{F8A625CD-65DD-4322-8FE4-56B872D04345}"/>
            </a:ext>
          </a:extLst>
        </xdr:cNvPr>
        <xdr:cNvSpPr/>
      </xdr:nvSpPr>
      <xdr:spPr>
        <a:xfrm>
          <a:off x="9915525" y="609601"/>
          <a:ext cx="2085975" cy="7457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2">
                  <a:lumMod val="50000"/>
                </a:schemeClr>
              </a:solidFill>
            </a:rPr>
            <a:t>Total Loss</a:t>
          </a:r>
        </a:p>
      </xdr:txBody>
    </xdr:sp>
    <xdr:clientData/>
  </xdr:twoCellAnchor>
  <xdr:twoCellAnchor>
    <xdr:from>
      <xdr:col>2</xdr:col>
      <xdr:colOff>523875</xdr:colOff>
      <xdr:row>4</xdr:row>
      <xdr:rowOff>123826</xdr:rowOff>
    </xdr:from>
    <xdr:to>
      <xdr:col>3</xdr:col>
      <xdr:colOff>1285875</xdr:colOff>
      <xdr:row>7</xdr:row>
      <xdr:rowOff>155165</xdr:rowOff>
    </xdr:to>
    <xdr:sp macro="" textlink="Sheet2!B3">
      <xdr:nvSpPr>
        <xdr:cNvPr id="27" name="Rectangle: Rounded Corners 26">
          <a:extLst>
            <a:ext uri="{FF2B5EF4-FFF2-40B4-BE49-F238E27FC236}">
              <a16:creationId xmlns:a16="http://schemas.microsoft.com/office/drawing/2014/main" xmlns="" id="{0672F6CB-B8F2-4C84-A8C4-7A8944C5276E}"/>
            </a:ext>
          </a:extLst>
        </xdr:cNvPr>
        <xdr:cNvSpPr/>
      </xdr:nvSpPr>
      <xdr:spPr>
        <a:xfrm>
          <a:off x="1238250" y="838201"/>
          <a:ext cx="2066925" cy="7457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199841-0302-4DE5-A664-908B228FEE90}" type="TxLink">
            <a:rPr lang="en-US" sz="2800" b="1" i="0" u="none" strike="noStrike">
              <a:solidFill>
                <a:srgbClr val="000000"/>
              </a:solidFill>
              <a:latin typeface="Calibri"/>
            </a:rPr>
            <a:pPr algn="l"/>
            <a:t>19,500</a:t>
          </a:fld>
          <a:endParaRPr lang="en-US" sz="3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2038350</xdr:colOff>
      <xdr:row>4</xdr:row>
      <xdr:rowOff>133351</xdr:rowOff>
    </xdr:from>
    <xdr:to>
      <xdr:col>5</xdr:col>
      <xdr:colOff>523875</xdr:colOff>
      <xdr:row>7</xdr:row>
      <xdr:rowOff>164690</xdr:rowOff>
    </xdr:to>
    <xdr:sp macro="" textlink="Sheet2!C3">
      <xdr:nvSpPr>
        <xdr:cNvPr id="28" name="Rectangle: Rounded Corners 27">
          <a:extLst>
            <a:ext uri="{FF2B5EF4-FFF2-40B4-BE49-F238E27FC236}">
              <a16:creationId xmlns:a16="http://schemas.microsoft.com/office/drawing/2014/main" xmlns="" id="{A18E650D-5D74-4B77-9A5B-D046ECAB5617}"/>
            </a:ext>
          </a:extLst>
        </xdr:cNvPr>
        <xdr:cNvSpPr/>
      </xdr:nvSpPr>
      <xdr:spPr>
        <a:xfrm>
          <a:off x="4057650" y="847726"/>
          <a:ext cx="2066925" cy="7457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08C6F49-3C33-41B0-92D4-B17DD0E74C5A}" type="TxLink">
            <a:rPr lang="en-US" sz="2800" b="1" i="0" u="none" strike="noStrike">
              <a:solidFill>
                <a:srgbClr val="000000"/>
              </a:solidFill>
              <a:latin typeface="Calibri"/>
            </a:rPr>
            <a:pPr algn="l"/>
            <a:t>20,190</a:t>
          </a:fld>
          <a:endParaRPr lang="en-US" sz="60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180975</xdr:colOff>
      <xdr:row>4</xdr:row>
      <xdr:rowOff>142876</xdr:rowOff>
    </xdr:from>
    <xdr:to>
      <xdr:col>8</xdr:col>
      <xdr:colOff>942975</xdr:colOff>
      <xdr:row>7</xdr:row>
      <xdr:rowOff>174215</xdr:rowOff>
    </xdr:to>
    <xdr:sp macro="" textlink="Sheet2!D3">
      <xdr:nvSpPr>
        <xdr:cNvPr id="29" name="Rectangle: Rounded Corners 28">
          <a:extLst>
            <a:ext uri="{FF2B5EF4-FFF2-40B4-BE49-F238E27FC236}">
              <a16:creationId xmlns:a16="http://schemas.microsoft.com/office/drawing/2014/main" xmlns="" id="{AD4AE126-1826-4C68-A415-26103591EC6E}"/>
            </a:ext>
          </a:extLst>
        </xdr:cNvPr>
        <xdr:cNvSpPr/>
      </xdr:nvSpPr>
      <xdr:spPr>
        <a:xfrm>
          <a:off x="6915150" y="857251"/>
          <a:ext cx="2066925" cy="7457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E8C0310-92E7-42CF-A39C-153E41E88ADE}" type="TxLink">
            <a:rPr lang="en-US" sz="2800" b="1" i="0" u="none" strike="noStrike">
              <a:solidFill>
                <a:srgbClr val="000000"/>
              </a:solidFill>
              <a:latin typeface="Calibri"/>
            </a:rPr>
            <a:pPr algn="l"/>
            <a:t>0</a:t>
          </a:fld>
          <a:endParaRPr lang="en-US" sz="96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1895475</xdr:colOff>
      <xdr:row>4</xdr:row>
      <xdr:rowOff>152401</xdr:rowOff>
    </xdr:from>
    <xdr:to>
      <xdr:col>10</xdr:col>
      <xdr:colOff>381000</xdr:colOff>
      <xdr:row>7</xdr:row>
      <xdr:rowOff>183740</xdr:rowOff>
    </xdr:to>
    <xdr:sp macro="" textlink="Sheet2!E3">
      <xdr:nvSpPr>
        <xdr:cNvPr id="30" name="Rectangle: Rounded Corners 29">
          <a:extLst>
            <a:ext uri="{FF2B5EF4-FFF2-40B4-BE49-F238E27FC236}">
              <a16:creationId xmlns:a16="http://schemas.microsoft.com/office/drawing/2014/main" xmlns="" id="{AEBC27A7-1162-404E-BA45-52DBF9AD6E35}"/>
            </a:ext>
          </a:extLst>
        </xdr:cNvPr>
        <xdr:cNvSpPr/>
      </xdr:nvSpPr>
      <xdr:spPr>
        <a:xfrm>
          <a:off x="9934575" y="866776"/>
          <a:ext cx="2066925" cy="7457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91B5C72-4E3C-49D5-ACA9-87C9407F0BE5}" type="TxLink">
            <a:rPr lang="en-US" sz="2800" b="1" i="0" u="none" strike="noStrike">
              <a:solidFill>
                <a:srgbClr val="000000"/>
              </a:solidFill>
              <a:latin typeface="Calibri"/>
            </a:rPr>
            <a:pPr algn="l"/>
            <a:t>690</a:t>
          </a:fld>
          <a:endParaRPr lang="en-US" sz="239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57976</xdr:colOff>
      <xdr:row>4</xdr:row>
      <xdr:rowOff>115956</xdr:rowOff>
    </xdr:from>
    <xdr:to>
      <xdr:col>3</xdr:col>
      <xdr:colOff>463825</xdr:colOff>
      <xdr:row>7</xdr:row>
      <xdr:rowOff>140804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5D8D3FEA-6D64-4D23-A702-619E4D5D83D8}"/>
            </a:ext>
          </a:extLst>
        </xdr:cNvPr>
        <xdr:cNvSpPr/>
      </xdr:nvSpPr>
      <xdr:spPr>
        <a:xfrm>
          <a:off x="364433" y="1093304"/>
          <a:ext cx="2078935" cy="74543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911088</xdr:colOff>
      <xdr:row>4</xdr:row>
      <xdr:rowOff>124239</xdr:rowOff>
    </xdr:from>
    <xdr:to>
      <xdr:col>5</xdr:col>
      <xdr:colOff>57979</xdr:colOff>
      <xdr:row>7</xdr:row>
      <xdr:rowOff>149087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30DF94A5-5709-4125-A156-DD850A29B1BB}"/>
            </a:ext>
          </a:extLst>
        </xdr:cNvPr>
        <xdr:cNvSpPr/>
      </xdr:nvSpPr>
      <xdr:spPr>
        <a:xfrm>
          <a:off x="2890631" y="1101587"/>
          <a:ext cx="2078935" cy="74543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57979</xdr:colOff>
      <xdr:row>4</xdr:row>
      <xdr:rowOff>115956</xdr:rowOff>
    </xdr:from>
    <xdr:to>
      <xdr:col>8</xdr:col>
      <xdr:colOff>463827</xdr:colOff>
      <xdr:row>7</xdr:row>
      <xdr:rowOff>140804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8389FCAF-56FA-48C9-A462-5F1A5E2684AD}"/>
            </a:ext>
          </a:extLst>
        </xdr:cNvPr>
        <xdr:cNvSpPr/>
      </xdr:nvSpPr>
      <xdr:spPr>
        <a:xfrm>
          <a:off x="5334001" y="1093304"/>
          <a:ext cx="2078935" cy="74543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795131</xdr:colOff>
      <xdr:row>4</xdr:row>
      <xdr:rowOff>132521</xdr:rowOff>
    </xdr:from>
    <xdr:to>
      <xdr:col>9</xdr:col>
      <xdr:colOff>828262</xdr:colOff>
      <xdr:row>7</xdr:row>
      <xdr:rowOff>157369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41B85421-10AD-402F-85AB-DDFD51DD354B}"/>
            </a:ext>
          </a:extLst>
        </xdr:cNvPr>
        <xdr:cNvSpPr/>
      </xdr:nvSpPr>
      <xdr:spPr>
        <a:xfrm>
          <a:off x="7744240" y="1109869"/>
          <a:ext cx="2078935" cy="745435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149087</xdr:colOff>
      <xdr:row>4</xdr:row>
      <xdr:rowOff>226390</xdr:rowOff>
    </xdr:from>
    <xdr:to>
      <xdr:col>2</xdr:col>
      <xdr:colOff>107673</xdr:colOff>
      <xdr:row>7</xdr:row>
      <xdr:rowOff>60696</xdr:rowOff>
    </xdr:to>
    <xdr:pic>
      <xdr:nvPicPr>
        <xdr:cNvPr id="8" name="Picture 7" descr="Download Dollar Clipart Psd - Bag Of Money Icon Png Transparent Png  (#770172) - PinClipart">
          <a:extLst>
            <a:ext uri="{FF2B5EF4-FFF2-40B4-BE49-F238E27FC236}">
              <a16:creationId xmlns:a16="http://schemas.microsoft.com/office/drawing/2014/main" xmlns="" id="{BE4C9BE6-C5BF-4B91-8E2B-063E9E79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544" y="1203738"/>
          <a:ext cx="463825" cy="554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903526</xdr:colOff>
      <xdr:row>4</xdr:row>
      <xdr:rowOff>174671</xdr:rowOff>
    </xdr:from>
    <xdr:to>
      <xdr:col>3</xdr:col>
      <xdr:colOff>1559282</xdr:colOff>
      <xdr:row>7</xdr:row>
      <xdr:rowOff>109840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AC2585D0-20F7-4C2B-804E-777C58D86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 rot="443976">
          <a:off x="2883069" y="1152019"/>
          <a:ext cx="655756" cy="655756"/>
        </a:xfrm>
        <a:prstGeom prst="rect">
          <a:avLst/>
        </a:prstGeom>
      </xdr:spPr>
    </xdr:pic>
    <xdr:clientData/>
  </xdr:twoCellAnchor>
  <xdr:twoCellAnchor editAs="oneCell">
    <xdr:from>
      <xdr:col>6</xdr:col>
      <xdr:colOff>86139</xdr:colOff>
      <xdr:row>4</xdr:row>
      <xdr:rowOff>236469</xdr:rowOff>
    </xdr:from>
    <xdr:to>
      <xdr:col>7</xdr:col>
      <xdr:colOff>180675</xdr:colOff>
      <xdr:row>7</xdr:row>
      <xdr:rowOff>52390</xdr:rowOff>
    </xdr:to>
    <xdr:pic>
      <xdr:nvPicPr>
        <xdr:cNvPr id="10" name="Picture 9" descr="Profit Png Pic - Profit Icon Png, Transparent Png , Transparent Png Image -  PNGitem">
          <a:extLst>
            <a:ext uri="{FF2B5EF4-FFF2-40B4-BE49-F238E27FC236}">
              <a16:creationId xmlns:a16="http://schemas.microsoft.com/office/drawing/2014/main" xmlns="" id="{B8AAD254-6B03-41D2-9EDD-3089399C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161" y="1213817"/>
          <a:ext cx="599775" cy="536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819565</xdr:colOff>
      <xdr:row>4</xdr:row>
      <xdr:rowOff>197955</xdr:rowOff>
    </xdr:from>
    <xdr:to>
      <xdr:col>8</xdr:col>
      <xdr:colOff>1427336</xdr:colOff>
      <xdr:row>7</xdr:row>
      <xdr:rowOff>85139</xdr:rowOff>
    </xdr:to>
    <xdr:pic>
      <xdr:nvPicPr>
        <xdr:cNvPr id="11" name="Picture 10" descr="Business loss Icon - Download in Glyph Style">
          <a:extLst>
            <a:ext uri="{FF2B5EF4-FFF2-40B4-BE49-F238E27FC236}">
              <a16:creationId xmlns:a16="http://schemas.microsoft.com/office/drawing/2014/main" xmlns="" id="{6923E718-B6EA-4680-A622-20D061436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8674" y="1175303"/>
          <a:ext cx="607771" cy="607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273326</xdr:colOff>
      <xdr:row>4</xdr:row>
      <xdr:rowOff>190500</xdr:rowOff>
    </xdr:from>
    <xdr:to>
      <xdr:col>3</xdr:col>
      <xdr:colOff>397566</xdr:colOff>
      <xdr:row>5</xdr:row>
      <xdr:rowOff>231914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xmlns="" id="{9982D8FA-703C-4055-B005-AAFF6FA31070}"/>
            </a:ext>
          </a:extLst>
        </xdr:cNvPr>
        <xdr:cNvSpPr/>
      </xdr:nvSpPr>
      <xdr:spPr>
        <a:xfrm>
          <a:off x="1085022" y="1167848"/>
          <a:ext cx="1292087" cy="2816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accent6">
                  <a:lumMod val="75000"/>
                </a:schemeClr>
              </a:solidFill>
            </a:rPr>
            <a:t>Total Income</a:t>
          </a:r>
        </a:p>
      </xdr:txBody>
    </xdr:sp>
    <xdr:clientData/>
  </xdr:twoCellAnchor>
  <xdr:twoCellAnchor>
    <xdr:from>
      <xdr:col>3</xdr:col>
      <xdr:colOff>1606827</xdr:colOff>
      <xdr:row>4</xdr:row>
      <xdr:rowOff>190500</xdr:rowOff>
    </xdr:from>
    <xdr:to>
      <xdr:col>4</xdr:col>
      <xdr:colOff>853109</xdr:colOff>
      <xdr:row>5</xdr:row>
      <xdr:rowOff>231914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xmlns="" id="{6C15DC3C-D386-4F43-B4A6-8A95623D19F7}"/>
            </a:ext>
          </a:extLst>
        </xdr:cNvPr>
        <xdr:cNvSpPr/>
      </xdr:nvSpPr>
      <xdr:spPr>
        <a:xfrm>
          <a:off x="3586370" y="1167848"/>
          <a:ext cx="1292087" cy="2816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accent1">
                  <a:lumMod val="75000"/>
                </a:schemeClr>
              </a:solidFill>
            </a:rPr>
            <a:t>Total Expenses</a:t>
          </a:r>
        </a:p>
      </xdr:txBody>
    </xdr:sp>
    <xdr:clientData/>
  </xdr:twoCellAnchor>
  <xdr:twoCellAnchor>
    <xdr:from>
      <xdr:col>7</xdr:col>
      <xdr:colOff>256761</xdr:colOff>
      <xdr:row>4</xdr:row>
      <xdr:rowOff>207065</xdr:rowOff>
    </xdr:from>
    <xdr:to>
      <xdr:col>8</xdr:col>
      <xdr:colOff>381000</xdr:colOff>
      <xdr:row>6</xdr:row>
      <xdr:rowOff>8283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xmlns="" id="{716F3843-E122-4A0A-BDCB-25B7014551B8}"/>
            </a:ext>
          </a:extLst>
        </xdr:cNvPr>
        <xdr:cNvSpPr/>
      </xdr:nvSpPr>
      <xdr:spPr>
        <a:xfrm>
          <a:off x="6038022" y="1184413"/>
          <a:ext cx="1292087" cy="2816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accent4">
                  <a:lumMod val="75000"/>
                </a:schemeClr>
              </a:solidFill>
            </a:rPr>
            <a:t>Total Profit</a:t>
          </a:r>
        </a:p>
      </xdr:txBody>
    </xdr:sp>
    <xdr:clientData/>
  </xdr:twoCellAnchor>
  <xdr:twoCellAnchor>
    <xdr:from>
      <xdr:col>8</xdr:col>
      <xdr:colOff>1507434</xdr:colOff>
      <xdr:row>4</xdr:row>
      <xdr:rowOff>215348</xdr:rowOff>
    </xdr:from>
    <xdr:to>
      <xdr:col>9</xdr:col>
      <xdr:colOff>753717</xdr:colOff>
      <xdr:row>6</xdr:row>
      <xdr:rowOff>16566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xmlns="" id="{68A2BFBA-343F-4553-885C-9BA82E886809}"/>
            </a:ext>
          </a:extLst>
        </xdr:cNvPr>
        <xdr:cNvSpPr/>
      </xdr:nvSpPr>
      <xdr:spPr>
        <a:xfrm>
          <a:off x="8456543" y="1192696"/>
          <a:ext cx="1292087" cy="2816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C00000"/>
              </a:solidFill>
            </a:rPr>
            <a:t>Total Loss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B11:E28" totalsRowShown="0" headerRowDxfId="30" headerRowBorderDxfId="29" tableBorderDxfId="28" totalsRowBorderDxfId="27">
  <tableColumns count="4">
    <tableColumn id="1" name="S No" dataDxfId="26"/>
    <tableColumn id="2" name="Date" dataDxfId="25"/>
    <tableColumn id="3" name="Source of Income" dataDxfId="24"/>
    <tableColumn id="4" name="Amount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11:J28" totalsRowShown="0" headerRowDxfId="22" headerRowBorderDxfId="21" tableBorderDxfId="20">
  <tableColumns count="4">
    <tableColumn id="1" name="S No" dataDxfId="19"/>
    <tableColumn id="2" name="Date" dataDxfId="18"/>
    <tableColumn id="3" name="Source of Expenses" dataDxfId="17"/>
    <tableColumn id="4" name="Amoun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11:E13" totalsRowShown="0" headerRowDxfId="15" headerRowBorderDxfId="14" tableBorderDxfId="13" totalsRowBorderDxfId="12">
  <tableColumns count="4">
    <tableColumn id="1" name="S No" dataDxfId="11"/>
    <tableColumn id="2" name="Date" dataDxfId="10"/>
    <tableColumn id="3" name="Source of Income" dataDxfId="9"/>
    <tableColumn id="4" name="Amount" dataDxfId="8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able4" displayName="Table4" ref="G11:J15" totalsRowShown="0" headerRowDxfId="7" headerRowBorderDxfId="6" tableBorderDxfId="5" totalsRowBorderDxfId="4">
  <tableColumns count="4">
    <tableColumn id="1" name="S No" dataDxfId="3"/>
    <tableColumn id="2" name="Date" dataDxfId="2"/>
    <tableColumn id="3" name="Source of Expenses" dataDxfId="1"/>
    <tableColumn id="4" name="Amount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tabSelected="1" zoomScaleNormal="100" workbookViewId="0">
      <pane ySplit="11" topLeftCell="A12" activePane="bottomLeft" state="frozen"/>
      <selection activeCell="B1" sqref="B1"/>
      <selection pane="bottomLeft" activeCell="K19" sqref="K19:L19"/>
    </sheetView>
  </sheetViews>
  <sheetFormatPr defaultRowHeight="18" x14ac:dyDescent="0.35"/>
  <cols>
    <col min="1" max="1" width="3.58203125" style="5" customWidth="1"/>
    <col min="2" max="2" width="5.83203125" style="1" customWidth="1"/>
    <col min="3" max="3" width="13.75" style="1" customWidth="1"/>
    <col min="4" max="4" width="27.83203125" customWidth="1"/>
    <col min="5" max="5" width="9.83203125" style="12" customWidth="1"/>
    <col min="6" max="6" width="6.1640625" customWidth="1"/>
    <col min="7" max="7" width="5.83203125" style="1" customWidth="1"/>
    <col min="8" max="8" width="13.75" style="1" customWidth="1"/>
    <col min="9" max="9" width="27.83203125" customWidth="1"/>
    <col min="10" max="10" width="9.83203125" style="12" customWidth="1"/>
    <col min="11" max="15" width="8.75" style="5"/>
  </cols>
  <sheetData>
    <row r="1" spans="1:15" s="5" customFormat="1" x14ac:dyDescent="0.35">
      <c r="B1" s="4"/>
      <c r="C1" s="4"/>
      <c r="E1" s="11"/>
      <c r="G1" s="4"/>
      <c r="H1" s="4"/>
      <c r="J1" s="11"/>
    </row>
    <row r="2" spans="1:15" s="2" customFormat="1" x14ac:dyDescent="0.35">
      <c r="A2" s="5"/>
      <c r="B2" s="39"/>
      <c r="C2" s="39"/>
      <c r="D2" s="40"/>
      <c r="E2" s="41"/>
      <c r="F2" s="40"/>
      <c r="G2" s="39"/>
      <c r="H2" s="39"/>
      <c r="I2" s="40"/>
      <c r="J2" s="41"/>
      <c r="K2" s="5"/>
      <c r="L2" s="5"/>
      <c r="M2" s="5"/>
      <c r="N2" s="5"/>
      <c r="O2" s="5"/>
    </row>
    <row r="3" spans="1:15" s="2" customFormat="1" ht="26.4" thickBot="1" x14ac:dyDescent="0.55000000000000004">
      <c r="A3" s="5"/>
      <c r="B3" s="42"/>
      <c r="C3" s="43"/>
      <c r="D3" s="44"/>
      <c r="E3" s="45"/>
      <c r="F3" s="44"/>
      <c r="G3" s="43"/>
      <c r="H3" s="46" t="s">
        <v>13</v>
      </c>
      <c r="I3" s="46"/>
      <c r="J3" s="46"/>
      <c r="K3" s="5"/>
      <c r="L3" s="5"/>
      <c r="M3" s="5"/>
      <c r="N3" s="5"/>
      <c r="O3" s="5"/>
    </row>
    <row r="4" spans="1:15" s="2" customFormat="1" ht="18.600000000000001" thickTop="1" x14ac:dyDescent="0.35">
      <c r="A4" s="5"/>
      <c r="B4" s="39"/>
      <c r="C4" s="39"/>
      <c r="D4" s="40"/>
      <c r="E4" s="41"/>
      <c r="F4" s="40"/>
      <c r="G4" s="39"/>
      <c r="H4" s="39"/>
      <c r="I4" s="40"/>
      <c r="J4" s="41"/>
      <c r="K4" s="5"/>
      <c r="L4" s="5"/>
      <c r="M4" s="5"/>
      <c r="N4" s="5"/>
      <c r="O4" s="5"/>
    </row>
    <row r="5" spans="1:15" s="2" customFormat="1" x14ac:dyDescent="0.35">
      <c r="A5" s="5"/>
      <c r="B5" s="39"/>
      <c r="C5" s="39"/>
      <c r="D5" s="40"/>
      <c r="E5" s="41"/>
      <c r="F5" s="40"/>
      <c r="G5" s="39"/>
      <c r="H5" s="39"/>
      <c r="I5" s="40"/>
      <c r="J5" s="41"/>
      <c r="K5" s="5"/>
      <c r="L5" s="5"/>
      <c r="M5" s="5"/>
      <c r="N5" s="5"/>
      <c r="O5" s="5"/>
    </row>
    <row r="6" spans="1:15" s="2" customFormat="1" x14ac:dyDescent="0.35">
      <c r="A6" s="5"/>
      <c r="B6" s="39"/>
      <c r="C6" s="39"/>
      <c r="D6" s="40"/>
      <c r="E6" s="41"/>
      <c r="F6" s="40"/>
      <c r="G6" s="39"/>
      <c r="H6" s="39"/>
      <c r="I6" s="40"/>
      <c r="J6" s="41"/>
      <c r="K6" s="5"/>
      <c r="L6" s="5"/>
      <c r="M6" s="5"/>
      <c r="N6" s="5"/>
      <c r="O6" s="5"/>
    </row>
    <row r="7" spans="1:15" s="2" customFormat="1" x14ac:dyDescent="0.35">
      <c r="A7" s="5"/>
      <c r="B7" s="39"/>
      <c r="C7" s="39"/>
      <c r="D7" s="40"/>
      <c r="E7" s="41"/>
      <c r="F7" s="40"/>
      <c r="G7" s="39"/>
      <c r="H7" s="39"/>
      <c r="I7" s="40"/>
      <c r="J7" s="41"/>
      <c r="K7" s="5"/>
      <c r="L7" s="5"/>
      <c r="M7" s="5"/>
      <c r="N7" s="5"/>
      <c r="O7" s="5"/>
    </row>
    <row r="8" spans="1:15" s="2" customFormat="1" x14ac:dyDescent="0.35">
      <c r="A8" s="5"/>
      <c r="B8" s="39"/>
      <c r="C8" s="39"/>
      <c r="D8" s="40"/>
      <c r="E8" s="41"/>
      <c r="F8" s="40"/>
      <c r="G8" s="39"/>
      <c r="H8" s="39"/>
      <c r="I8" s="40"/>
      <c r="J8" s="41"/>
      <c r="K8" s="5"/>
      <c r="L8" s="5"/>
      <c r="M8" s="5"/>
      <c r="N8" s="5"/>
      <c r="O8" s="5"/>
    </row>
    <row r="9" spans="1:15" s="6" customFormat="1" x14ac:dyDescent="0.35">
      <c r="A9" s="5"/>
      <c r="B9" s="39"/>
      <c r="C9" s="39"/>
      <c r="D9" s="40"/>
      <c r="E9" s="41"/>
      <c r="F9" s="40"/>
      <c r="G9" s="39"/>
      <c r="H9" s="39"/>
      <c r="I9" s="40"/>
      <c r="J9" s="41"/>
      <c r="K9" s="5"/>
      <c r="L9" s="5"/>
      <c r="M9" s="5"/>
      <c r="N9" s="5"/>
      <c r="O9" s="5"/>
    </row>
    <row r="10" spans="1:15" s="5" customFormat="1" x14ac:dyDescent="0.35">
      <c r="B10" s="4"/>
      <c r="C10" s="4"/>
      <c r="E10" s="11"/>
      <c r="G10" s="4"/>
      <c r="H10" s="4"/>
      <c r="J10" s="11"/>
    </row>
    <row r="11" spans="1:15" s="5" customFormat="1" x14ac:dyDescent="0.35">
      <c r="B11" s="19" t="s">
        <v>0</v>
      </c>
      <c r="C11" s="20" t="s">
        <v>4</v>
      </c>
      <c r="D11" s="21" t="s">
        <v>1</v>
      </c>
      <c r="E11" s="22" t="s">
        <v>2</v>
      </c>
      <c r="G11" s="19" t="s">
        <v>0</v>
      </c>
      <c r="H11" s="20" t="s">
        <v>4</v>
      </c>
      <c r="I11" s="21" t="s">
        <v>3</v>
      </c>
      <c r="J11" s="22" t="s">
        <v>2</v>
      </c>
    </row>
    <row r="12" spans="1:15" s="5" customFormat="1" x14ac:dyDescent="0.35">
      <c r="B12" s="13">
        <v>1</v>
      </c>
      <c r="C12" s="8">
        <v>46027</v>
      </c>
      <c r="D12" s="9" t="s">
        <v>14</v>
      </c>
      <c r="E12" s="14">
        <v>8000</v>
      </c>
      <c r="G12" s="13">
        <v>1</v>
      </c>
      <c r="H12" s="8">
        <v>46032</v>
      </c>
      <c r="I12" s="7" t="s">
        <v>17</v>
      </c>
      <c r="J12" s="14">
        <v>4000</v>
      </c>
    </row>
    <row r="13" spans="1:15" s="5" customFormat="1" x14ac:dyDescent="0.35">
      <c r="B13" s="13">
        <v>2</v>
      </c>
      <c r="C13" s="8">
        <v>46019</v>
      </c>
      <c r="D13" s="9" t="s">
        <v>15</v>
      </c>
      <c r="E13" s="14">
        <v>5500</v>
      </c>
      <c r="G13" s="13">
        <v>2</v>
      </c>
      <c r="H13" s="8">
        <v>46032</v>
      </c>
      <c r="I13" s="7" t="s">
        <v>18</v>
      </c>
      <c r="J13" s="14">
        <v>2000</v>
      </c>
    </row>
    <row r="14" spans="1:15" s="5" customFormat="1" x14ac:dyDescent="0.35">
      <c r="B14" s="13">
        <v>3</v>
      </c>
      <c r="C14" s="8">
        <v>46028</v>
      </c>
      <c r="D14" s="9" t="s">
        <v>16</v>
      </c>
      <c r="E14" s="14">
        <v>6000</v>
      </c>
      <c r="G14" s="13">
        <v>3</v>
      </c>
      <c r="H14" s="8">
        <v>46034</v>
      </c>
      <c r="I14" s="7" t="s">
        <v>19</v>
      </c>
      <c r="J14" s="14">
        <v>899</v>
      </c>
    </row>
    <row r="15" spans="1:15" s="5" customFormat="1" x14ac:dyDescent="0.35">
      <c r="B15" s="13"/>
      <c r="C15" s="8"/>
      <c r="D15" s="9"/>
      <c r="E15" s="14"/>
      <c r="G15" s="13">
        <v>4</v>
      </c>
      <c r="H15" s="8">
        <v>46042</v>
      </c>
      <c r="I15" s="7" t="s">
        <v>20</v>
      </c>
      <c r="J15" s="14">
        <v>200</v>
      </c>
    </row>
    <row r="16" spans="1:15" s="5" customFormat="1" x14ac:dyDescent="0.35">
      <c r="B16" s="13"/>
      <c r="C16" s="8"/>
      <c r="D16" s="9"/>
      <c r="E16" s="14"/>
      <c r="G16" s="13">
        <v>5</v>
      </c>
      <c r="H16" s="8">
        <v>46043</v>
      </c>
      <c r="I16" s="9" t="s">
        <v>21</v>
      </c>
      <c r="J16" s="14">
        <v>1200</v>
      </c>
    </row>
    <row r="17" spans="2:10" s="5" customFormat="1" x14ac:dyDescent="0.35">
      <c r="B17" s="13"/>
      <c r="C17" s="7"/>
      <c r="D17" s="9"/>
      <c r="E17" s="14"/>
      <c r="G17" s="13">
        <v>6</v>
      </c>
      <c r="H17" s="8">
        <v>46043</v>
      </c>
      <c r="I17" s="9" t="s">
        <v>22</v>
      </c>
      <c r="J17" s="14">
        <v>1800</v>
      </c>
    </row>
    <row r="18" spans="2:10" s="5" customFormat="1" x14ac:dyDescent="0.35">
      <c r="B18" s="13"/>
      <c r="C18" s="7"/>
      <c r="D18" s="9"/>
      <c r="E18" s="14"/>
      <c r="G18" s="13">
        <v>7</v>
      </c>
      <c r="H18" s="8">
        <v>46044</v>
      </c>
      <c r="I18" s="9" t="s">
        <v>23</v>
      </c>
      <c r="J18" s="14">
        <v>5000</v>
      </c>
    </row>
    <row r="19" spans="2:10" s="5" customFormat="1" x14ac:dyDescent="0.35">
      <c r="B19" s="13"/>
      <c r="C19" s="7"/>
      <c r="D19" s="9"/>
      <c r="E19" s="14"/>
      <c r="G19" s="13">
        <v>8</v>
      </c>
      <c r="H19" s="8">
        <v>46044</v>
      </c>
      <c r="I19" t="s">
        <v>24</v>
      </c>
      <c r="J19" s="14">
        <v>4571</v>
      </c>
    </row>
    <row r="20" spans="2:10" s="5" customFormat="1" x14ac:dyDescent="0.35">
      <c r="B20" s="13"/>
      <c r="C20" s="7"/>
      <c r="D20" s="9"/>
      <c r="E20" s="14"/>
      <c r="G20" s="13">
        <v>9</v>
      </c>
      <c r="H20" s="8">
        <v>46045</v>
      </c>
      <c r="I20" s="9" t="s">
        <v>25</v>
      </c>
      <c r="J20" s="14">
        <v>520</v>
      </c>
    </row>
    <row r="21" spans="2:10" s="5" customFormat="1" x14ac:dyDescent="0.35">
      <c r="B21" s="13"/>
      <c r="C21" s="7"/>
      <c r="D21" s="9"/>
      <c r="E21" s="14"/>
      <c r="G21" s="13">
        <v>10</v>
      </c>
      <c r="H21" s="7"/>
      <c r="I21" s="9"/>
      <c r="J21" s="14"/>
    </row>
    <row r="22" spans="2:10" s="5" customFormat="1" x14ac:dyDescent="0.35">
      <c r="B22" s="13"/>
      <c r="C22" s="7"/>
      <c r="D22" s="9"/>
      <c r="E22" s="14"/>
      <c r="G22" s="13"/>
      <c r="H22" s="7"/>
      <c r="I22" s="9"/>
      <c r="J22" s="14"/>
    </row>
    <row r="23" spans="2:10" s="5" customFormat="1" x14ac:dyDescent="0.35">
      <c r="B23" s="13"/>
      <c r="C23" s="7"/>
      <c r="D23" s="9"/>
      <c r="E23" s="14"/>
      <c r="G23" s="13"/>
      <c r="H23" s="7"/>
      <c r="I23" s="9"/>
      <c r="J23" s="14"/>
    </row>
    <row r="24" spans="2:10" s="5" customFormat="1" x14ac:dyDescent="0.35">
      <c r="B24" s="13"/>
      <c r="C24" s="7"/>
      <c r="D24" s="9"/>
      <c r="E24" s="14"/>
      <c r="G24" s="13"/>
      <c r="H24" s="7"/>
      <c r="I24" s="9"/>
      <c r="J24" s="14"/>
    </row>
    <row r="25" spans="2:10" s="5" customFormat="1" x14ac:dyDescent="0.35">
      <c r="B25" s="13"/>
      <c r="C25" s="7"/>
      <c r="D25" s="9"/>
      <c r="E25" s="14"/>
      <c r="G25" s="13"/>
      <c r="H25" s="7"/>
      <c r="I25" s="9"/>
      <c r="J25" s="14"/>
    </row>
    <row r="26" spans="2:10" s="5" customFormat="1" x14ac:dyDescent="0.35">
      <c r="B26" s="13"/>
      <c r="C26" s="7"/>
      <c r="D26" s="9"/>
      <c r="E26" s="14"/>
      <c r="G26" s="13"/>
      <c r="H26" s="7"/>
      <c r="I26" s="9"/>
      <c r="J26" s="14"/>
    </row>
    <row r="27" spans="2:10" s="5" customFormat="1" x14ac:dyDescent="0.35">
      <c r="B27" s="13"/>
      <c r="C27" s="7"/>
      <c r="D27" s="9"/>
      <c r="E27" s="14"/>
      <c r="G27" s="13"/>
      <c r="H27" s="7"/>
      <c r="I27" s="9"/>
      <c r="J27" s="14"/>
    </row>
    <row r="28" spans="2:10" s="5" customFormat="1" x14ac:dyDescent="0.35">
      <c r="B28" s="15"/>
      <c r="C28" s="16"/>
      <c r="D28" s="17"/>
      <c r="E28" s="18"/>
      <c r="G28" s="15"/>
      <c r="H28" s="16"/>
      <c r="I28" s="17"/>
      <c r="J28" s="18"/>
    </row>
    <row r="29" spans="2:10" s="5" customFormat="1" x14ac:dyDescent="0.35">
      <c r="B29" s="4"/>
      <c r="C29" s="4"/>
      <c r="E29" s="11"/>
      <c r="G29" s="4"/>
      <c r="H29" s="4"/>
      <c r="J29" s="11"/>
    </row>
    <row r="30" spans="2:10" s="5" customFormat="1" x14ac:dyDescent="0.35">
      <c r="B30" s="4"/>
      <c r="C30" s="4"/>
      <c r="E30" s="11"/>
      <c r="G30" s="4"/>
      <c r="H30" s="4"/>
      <c r="J30" s="11"/>
    </row>
    <row r="31" spans="2:10" s="5" customFormat="1" x14ac:dyDescent="0.35">
      <c r="B31" s="4"/>
      <c r="C31" s="4"/>
      <c r="E31" s="11"/>
      <c r="G31" s="4"/>
      <c r="H31" s="4"/>
      <c r="J31" s="11"/>
    </row>
    <row r="32" spans="2:10" s="5" customFormat="1" x14ac:dyDescent="0.35">
      <c r="B32" s="4"/>
      <c r="C32" s="4"/>
      <c r="E32" s="11"/>
      <c r="G32" s="4"/>
      <c r="H32" s="4"/>
      <c r="J32" s="11"/>
    </row>
    <row r="33" spans="2:10" s="5" customFormat="1" x14ac:dyDescent="0.35">
      <c r="B33" s="4"/>
      <c r="C33" s="4"/>
      <c r="E33" s="11"/>
      <c r="G33" s="4"/>
      <c r="H33" s="4"/>
      <c r="J33" s="11"/>
    </row>
    <row r="34" spans="2:10" s="5" customFormat="1" x14ac:dyDescent="0.35">
      <c r="B34" s="4"/>
      <c r="C34" s="4"/>
      <c r="E34" s="11"/>
      <c r="G34" s="4"/>
      <c r="H34" s="4"/>
      <c r="J34" s="11"/>
    </row>
    <row r="35" spans="2:10" s="5" customFormat="1" x14ac:dyDescent="0.35">
      <c r="B35" s="4"/>
      <c r="C35" s="4"/>
      <c r="E35" s="11"/>
      <c r="G35" s="4"/>
      <c r="H35" s="4"/>
      <c r="J35" s="11"/>
    </row>
    <row r="36" spans="2:10" s="5" customFormat="1" x14ac:dyDescent="0.35">
      <c r="B36" s="4"/>
      <c r="C36" s="4"/>
      <c r="E36" s="11"/>
      <c r="G36" s="4"/>
      <c r="H36" s="4"/>
      <c r="J36" s="11"/>
    </row>
    <row r="37" spans="2:10" s="5" customFormat="1" x14ac:dyDescent="0.35">
      <c r="B37" s="4"/>
      <c r="C37" s="4"/>
      <c r="E37" s="11"/>
      <c r="G37" s="4"/>
      <c r="H37" s="4"/>
      <c r="J37" s="11"/>
    </row>
    <row r="38" spans="2:10" s="5" customFormat="1" x14ac:dyDescent="0.35">
      <c r="B38" s="4"/>
      <c r="C38" s="4"/>
      <c r="E38" s="11"/>
      <c r="G38" s="4"/>
      <c r="H38" s="4"/>
      <c r="J38" s="11"/>
    </row>
    <row r="39" spans="2:10" s="5" customFormat="1" x14ac:dyDescent="0.35">
      <c r="B39" s="4"/>
      <c r="C39" s="4"/>
      <c r="E39" s="11"/>
      <c r="G39" s="4"/>
      <c r="H39" s="4"/>
      <c r="J39" s="11"/>
    </row>
    <row r="40" spans="2:10" s="5" customFormat="1" x14ac:dyDescent="0.35">
      <c r="B40" s="4"/>
      <c r="C40" s="4"/>
      <c r="E40" s="11"/>
      <c r="G40" s="4"/>
      <c r="H40" s="4"/>
      <c r="J40" s="11"/>
    </row>
    <row r="41" spans="2:10" s="5" customFormat="1" x14ac:dyDescent="0.35">
      <c r="B41" s="4"/>
      <c r="C41" s="4"/>
      <c r="E41" s="11"/>
      <c r="G41" s="4"/>
      <c r="H41" s="4"/>
      <c r="J41" s="11"/>
    </row>
    <row r="42" spans="2:10" s="5" customFormat="1" x14ac:dyDescent="0.35">
      <c r="B42" s="4"/>
      <c r="C42" s="4"/>
      <c r="E42" s="11"/>
      <c r="G42" s="4"/>
      <c r="H42" s="4"/>
      <c r="J42" s="11"/>
    </row>
    <row r="43" spans="2:10" s="5" customFormat="1" x14ac:dyDescent="0.35">
      <c r="B43" s="4"/>
      <c r="C43" s="4"/>
      <c r="E43" s="11"/>
      <c r="G43" s="4"/>
      <c r="H43" s="4"/>
      <c r="J43" s="11"/>
    </row>
    <row r="44" spans="2:10" s="5" customFormat="1" x14ac:dyDescent="0.35">
      <c r="B44" s="4"/>
      <c r="C44" s="4"/>
      <c r="E44" s="11"/>
      <c r="G44" s="4"/>
      <c r="H44" s="4"/>
      <c r="J44" s="11"/>
    </row>
    <row r="45" spans="2:10" s="5" customFormat="1" x14ac:dyDescent="0.35">
      <c r="B45" s="4"/>
      <c r="C45" s="4"/>
      <c r="E45" s="11"/>
      <c r="G45" s="4"/>
      <c r="H45" s="4"/>
      <c r="J45" s="11"/>
    </row>
    <row r="46" spans="2:10" s="5" customFormat="1" x14ac:dyDescent="0.35">
      <c r="B46" s="4"/>
      <c r="C46" s="4"/>
      <c r="E46" s="11"/>
      <c r="G46" s="4"/>
      <c r="H46" s="4"/>
      <c r="J46" s="11"/>
    </row>
    <row r="47" spans="2:10" s="5" customFormat="1" x14ac:dyDescent="0.35">
      <c r="B47" s="4"/>
      <c r="C47" s="4"/>
      <c r="E47" s="11"/>
      <c r="G47" s="4"/>
      <c r="H47" s="4"/>
      <c r="J47" s="11"/>
    </row>
    <row r="48" spans="2:10" s="5" customFormat="1" x14ac:dyDescent="0.35">
      <c r="B48" s="4"/>
      <c r="C48" s="4"/>
      <c r="E48" s="11"/>
      <c r="G48" s="4"/>
      <c r="H48" s="4"/>
      <c r="J48" s="11"/>
    </row>
    <row r="49" spans="2:10" s="5" customFormat="1" x14ac:dyDescent="0.35">
      <c r="B49" s="4"/>
      <c r="C49" s="4"/>
      <c r="E49" s="11"/>
      <c r="G49" s="4"/>
      <c r="H49" s="4"/>
      <c r="J49" s="11"/>
    </row>
    <row r="50" spans="2:10" s="5" customFormat="1" x14ac:dyDescent="0.35">
      <c r="B50" s="4"/>
      <c r="C50" s="4"/>
      <c r="E50" s="11"/>
      <c r="G50" s="4"/>
      <c r="H50" s="4"/>
      <c r="J50" s="11"/>
    </row>
    <row r="51" spans="2:10" s="5" customFormat="1" x14ac:dyDescent="0.35">
      <c r="B51" s="4"/>
      <c r="C51" s="4"/>
      <c r="E51" s="11"/>
      <c r="G51" s="4"/>
      <c r="H51" s="4"/>
      <c r="J51" s="11"/>
    </row>
    <row r="52" spans="2:10" s="5" customFormat="1" x14ac:dyDescent="0.35">
      <c r="B52" s="4"/>
      <c r="C52" s="4"/>
      <c r="E52" s="11"/>
      <c r="G52" s="4"/>
      <c r="H52" s="4"/>
      <c r="J52" s="11"/>
    </row>
    <row r="53" spans="2:10" s="5" customFormat="1" x14ac:dyDescent="0.35">
      <c r="B53" s="4"/>
      <c r="C53" s="4"/>
      <c r="E53" s="11"/>
      <c r="G53" s="4"/>
      <c r="H53" s="4"/>
      <c r="J53" s="11"/>
    </row>
    <row r="54" spans="2:10" s="5" customFormat="1" x14ac:dyDescent="0.35">
      <c r="B54" s="4"/>
      <c r="C54" s="4"/>
      <c r="E54" s="11"/>
      <c r="G54" s="4"/>
      <c r="H54" s="4"/>
      <c r="J54" s="11"/>
    </row>
    <row r="55" spans="2:10" s="5" customFormat="1" x14ac:dyDescent="0.35">
      <c r="B55" s="4"/>
      <c r="C55" s="4"/>
      <c r="E55" s="11"/>
      <c r="G55" s="4"/>
      <c r="H55" s="4"/>
      <c r="J55" s="11"/>
    </row>
    <row r="56" spans="2:10" s="5" customFormat="1" x14ac:dyDescent="0.35">
      <c r="B56" s="4"/>
      <c r="C56" s="4"/>
      <c r="E56" s="11"/>
      <c r="G56" s="4"/>
      <c r="H56" s="4"/>
      <c r="J56" s="11"/>
    </row>
    <row r="57" spans="2:10" s="5" customFormat="1" x14ac:dyDescent="0.35">
      <c r="B57" s="4"/>
      <c r="C57" s="4"/>
      <c r="E57" s="11"/>
      <c r="G57" s="4"/>
      <c r="H57" s="4"/>
      <c r="J57" s="11"/>
    </row>
    <row r="58" spans="2:10" s="5" customFormat="1" x14ac:dyDescent="0.35">
      <c r="B58" s="4"/>
      <c r="C58" s="4"/>
      <c r="E58" s="11"/>
      <c r="G58" s="4"/>
      <c r="H58" s="4"/>
      <c r="J58" s="11"/>
    </row>
    <row r="59" spans="2:10" s="5" customFormat="1" x14ac:dyDescent="0.35">
      <c r="B59" s="4"/>
      <c r="C59" s="4"/>
      <c r="E59" s="11"/>
      <c r="G59" s="4"/>
      <c r="H59" s="4"/>
      <c r="J59" s="11"/>
    </row>
    <row r="60" spans="2:10" s="5" customFormat="1" x14ac:dyDescent="0.35">
      <c r="B60" s="4"/>
      <c r="C60" s="4"/>
      <c r="E60" s="11"/>
      <c r="G60" s="4"/>
      <c r="H60" s="4"/>
      <c r="J60" s="11"/>
    </row>
    <row r="61" spans="2:10" s="5" customFormat="1" x14ac:dyDescent="0.35">
      <c r="B61" s="4"/>
      <c r="C61" s="4"/>
      <c r="E61" s="11"/>
      <c r="G61" s="4"/>
      <c r="H61" s="4"/>
      <c r="J61" s="11"/>
    </row>
    <row r="62" spans="2:10" s="5" customFormat="1" x14ac:dyDescent="0.35">
      <c r="B62" s="4"/>
      <c r="C62" s="4"/>
      <c r="E62" s="11"/>
      <c r="G62" s="4"/>
      <c r="H62" s="4"/>
      <c r="J62" s="11"/>
    </row>
    <row r="63" spans="2:10" s="5" customFormat="1" x14ac:dyDescent="0.35">
      <c r="B63" s="4"/>
      <c r="C63" s="4"/>
      <c r="E63" s="11"/>
      <c r="G63" s="4"/>
      <c r="H63" s="4"/>
      <c r="J63" s="11"/>
    </row>
    <row r="64" spans="2:10" s="5" customFormat="1" x14ac:dyDescent="0.35">
      <c r="B64" s="4"/>
      <c r="C64" s="4"/>
      <c r="E64" s="11"/>
      <c r="G64" s="4"/>
      <c r="H64" s="4"/>
      <c r="J64" s="11"/>
    </row>
    <row r="65" spans="1:15" s="5" customFormat="1" x14ac:dyDescent="0.35">
      <c r="B65" s="4"/>
      <c r="C65" s="4"/>
      <c r="E65" s="11"/>
      <c r="G65" s="4"/>
      <c r="H65" s="4"/>
      <c r="J65" s="11"/>
    </row>
    <row r="66" spans="1:15" s="2" customFormat="1" x14ac:dyDescent="0.35">
      <c r="A66" s="5"/>
      <c r="B66" s="3"/>
      <c r="C66" s="3"/>
      <c r="E66" s="10"/>
      <c r="G66" s="3"/>
      <c r="H66" s="3"/>
      <c r="J66" s="10"/>
      <c r="K66" s="5"/>
      <c r="L66" s="5"/>
      <c r="M66" s="5"/>
      <c r="N66" s="5"/>
      <c r="O66" s="5"/>
    </row>
    <row r="67" spans="1:15" s="2" customFormat="1" x14ac:dyDescent="0.35">
      <c r="A67" s="5"/>
      <c r="B67" s="3"/>
      <c r="C67" s="3"/>
      <c r="E67" s="10"/>
      <c r="G67" s="3"/>
      <c r="H67" s="3"/>
      <c r="J67" s="10"/>
      <c r="K67" s="5"/>
      <c r="L67" s="5"/>
      <c r="M67" s="5"/>
      <c r="N67" s="5"/>
      <c r="O67" s="5"/>
    </row>
    <row r="68" spans="1:15" s="2" customFormat="1" x14ac:dyDescent="0.35">
      <c r="A68" s="5"/>
      <c r="B68" s="3"/>
      <c r="C68" s="3"/>
      <c r="E68" s="10"/>
      <c r="G68" s="3"/>
      <c r="H68" s="3"/>
      <c r="J68" s="10"/>
      <c r="K68" s="5"/>
      <c r="L68" s="5"/>
      <c r="M68" s="5"/>
      <c r="N68" s="5"/>
      <c r="O68" s="5"/>
    </row>
    <row r="69" spans="1:15" s="2" customFormat="1" x14ac:dyDescent="0.35">
      <c r="A69" s="5"/>
      <c r="B69" s="3"/>
      <c r="C69" s="3"/>
      <c r="E69" s="10"/>
      <c r="G69" s="3"/>
      <c r="H69" s="3"/>
      <c r="J69" s="10"/>
      <c r="K69" s="5"/>
      <c r="L69" s="5"/>
      <c r="M69" s="5"/>
      <c r="N69" s="5"/>
      <c r="O69" s="5"/>
    </row>
    <row r="70" spans="1:15" s="2" customFormat="1" x14ac:dyDescent="0.35">
      <c r="A70" s="5"/>
      <c r="B70" s="3"/>
      <c r="C70" s="3"/>
      <c r="E70" s="10"/>
      <c r="G70" s="3"/>
      <c r="H70" s="3"/>
      <c r="J70" s="10"/>
      <c r="K70" s="5"/>
      <c r="L70" s="5"/>
      <c r="M70" s="5"/>
      <c r="N70" s="5"/>
      <c r="O70" s="5"/>
    </row>
    <row r="71" spans="1:15" s="2" customFormat="1" x14ac:dyDescent="0.35">
      <c r="A71" s="5"/>
      <c r="B71" s="3"/>
      <c r="C71" s="3"/>
      <c r="E71" s="10"/>
      <c r="G71" s="3"/>
      <c r="H71" s="3"/>
      <c r="J71" s="10"/>
      <c r="K71" s="5"/>
      <c r="L71" s="5"/>
      <c r="M71" s="5"/>
      <c r="N71" s="5"/>
      <c r="O71" s="5"/>
    </row>
    <row r="72" spans="1:15" s="2" customFormat="1" x14ac:dyDescent="0.35">
      <c r="A72" s="5"/>
      <c r="B72" s="3"/>
      <c r="C72" s="3"/>
      <c r="E72" s="10"/>
      <c r="G72" s="3"/>
      <c r="H72" s="3"/>
      <c r="J72" s="10"/>
      <c r="K72" s="5"/>
      <c r="L72" s="5"/>
      <c r="M72" s="5"/>
      <c r="N72" s="5"/>
      <c r="O72" s="5"/>
    </row>
    <row r="73" spans="1:15" s="2" customFormat="1" x14ac:dyDescent="0.35">
      <c r="A73" s="5"/>
      <c r="B73" s="3"/>
      <c r="C73" s="3"/>
      <c r="E73" s="10"/>
      <c r="G73" s="3"/>
      <c r="H73" s="3"/>
      <c r="J73" s="10"/>
      <c r="K73" s="5"/>
      <c r="L73" s="5"/>
      <c r="M73" s="5"/>
      <c r="N73" s="5"/>
      <c r="O73" s="5"/>
    </row>
    <row r="74" spans="1:15" s="2" customFormat="1" x14ac:dyDescent="0.35">
      <c r="A74" s="5"/>
      <c r="B74" s="3"/>
      <c r="C74" s="3"/>
      <c r="E74" s="10"/>
      <c r="G74" s="3"/>
      <c r="H74" s="3"/>
      <c r="J74" s="10"/>
      <c r="K74" s="5"/>
      <c r="L74" s="5"/>
      <c r="M74" s="5"/>
      <c r="N74" s="5"/>
      <c r="O74" s="5"/>
    </row>
    <row r="75" spans="1:15" s="2" customFormat="1" x14ac:dyDescent="0.35">
      <c r="A75" s="5"/>
      <c r="B75" s="3"/>
      <c r="C75" s="3"/>
      <c r="E75" s="10"/>
      <c r="G75" s="3"/>
      <c r="H75" s="3"/>
      <c r="J75" s="10"/>
      <c r="K75" s="5"/>
      <c r="L75" s="5"/>
      <c r="M75" s="5"/>
      <c r="N75" s="5"/>
      <c r="O75" s="5"/>
    </row>
    <row r="76" spans="1:15" s="2" customFormat="1" x14ac:dyDescent="0.35">
      <c r="A76" s="5"/>
      <c r="B76" s="3"/>
      <c r="C76" s="3"/>
      <c r="E76" s="10"/>
      <c r="G76" s="3"/>
      <c r="H76" s="3"/>
      <c r="J76" s="10"/>
      <c r="K76" s="5"/>
      <c r="L76" s="5"/>
      <c r="M76" s="5"/>
      <c r="N76" s="5"/>
      <c r="O76" s="5"/>
    </row>
    <row r="77" spans="1:15" s="2" customFormat="1" x14ac:dyDescent="0.35">
      <c r="A77" s="5"/>
      <c r="B77" s="3"/>
      <c r="C77" s="3"/>
      <c r="E77" s="10"/>
      <c r="G77" s="3"/>
      <c r="H77" s="3"/>
      <c r="J77" s="10"/>
      <c r="K77" s="5"/>
      <c r="L77" s="5"/>
      <c r="M77" s="5"/>
      <c r="N77" s="5"/>
      <c r="O77" s="5"/>
    </row>
    <row r="78" spans="1:15" s="2" customFormat="1" x14ac:dyDescent="0.35">
      <c r="A78" s="5"/>
      <c r="B78" s="3"/>
      <c r="C78" s="3"/>
      <c r="E78" s="10"/>
      <c r="G78" s="3"/>
      <c r="H78" s="3"/>
      <c r="J78" s="10"/>
      <c r="K78" s="5"/>
      <c r="L78" s="5"/>
      <c r="M78" s="5"/>
      <c r="N78" s="5"/>
      <c r="O78" s="5"/>
    </row>
    <row r="79" spans="1:15" s="2" customFormat="1" x14ac:dyDescent="0.35">
      <c r="A79" s="5"/>
      <c r="B79" s="3"/>
      <c r="C79" s="3"/>
      <c r="E79" s="10"/>
      <c r="G79" s="3"/>
      <c r="H79" s="3"/>
      <c r="J79" s="10"/>
      <c r="K79" s="5"/>
      <c r="L79" s="5"/>
      <c r="M79" s="5"/>
      <c r="N79" s="5"/>
      <c r="O79" s="5"/>
    </row>
    <row r="80" spans="1:15" s="2" customFormat="1" x14ac:dyDescent="0.35">
      <c r="A80" s="5"/>
      <c r="B80" s="3"/>
      <c r="C80" s="3"/>
      <c r="E80" s="10"/>
      <c r="G80" s="3"/>
      <c r="H80" s="3"/>
      <c r="J80" s="10"/>
      <c r="K80" s="5"/>
      <c r="L80" s="5"/>
      <c r="M80" s="5"/>
      <c r="N80" s="5"/>
      <c r="O80" s="5"/>
    </row>
    <row r="81" spans="1:15" s="2" customFormat="1" x14ac:dyDescent="0.35">
      <c r="A81" s="5"/>
      <c r="B81" s="3"/>
      <c r="C81" s="3"/>
      <c r="E81" s="10"/>
      <c r="G81" s="3"/>
      <c r="H81" s="3"/>
      <c r="J81" s="10"/>
      <c r="K81" s="5"/>
      <c r="L81" s="5"/>
      <c r="M81" s="5"/>
      <c r="N81" s="5"/>
      <c r="O81" s="5"/>
    </row>
    <row r="82" spans="1:15" s="2" customFormat="1" x14ac:dyDescent="0.35">
      <c r="A82" s="5"/>
      <c r="B82" s="3"/>
      <c r="C82" s="3"/>
      <c r="E82" s="10"/>
      <c r="G82" s="3"/>
      <c r="H82" s="3"/>
      <c r="J82" s="10"/>
      <c r="K82" s="5"/>
      <c r="L82" s="5"/>
      <c r="M82" s="5"/>
      <c r="N82" s="5"/>
      <c r="O82" s="5"/>
    </row>
    <row r="83" spans="1:15" s="2" customFormat="1" x14ac:dyDescent="0.35">
      <c r="A83" s="5"/>
      <c r="B83" s="3"/>
      <c r="C83" s="3"/>
      <c r="E83" s="10"/>
      <c r="G83" s="3"/>
      <c r="H83" s="3"/>
      <c r="J83" s="10"/>
      <c r="K83" s="5"/>
      <c r="L83" s="5"/>
      <c r="M83" s="5"/>
      <c r="N83" s="5"/>
      <c r="O83" s="5"/>
    </row>
    <row r="84" spans="1:15" s="2" customFormat="1" x14ac:dyDescent="0.35">
      <c r="A84" s="5"/>
      <c r="B84" s="3"/>
      <c r="C84" s="3"/>
      <c r="E84" s="10"/>
      <c r="G84" s="3"/>
      <c r="H84" s="3"/>
      <c r="J84" s="10"/>
      <c r="K84" s="5"/>
      <c r="L84" s="5"/>
      <c r="M84" s="5"/>
      <c r="N84" s="5"/>
      <c r="O84" s="5"/>
    </row>
    <row r="85" spans="1:15" s="2" customFormat="1" x14ac:dyDescent="0.35">
      <c r="A85" s="5"/>
      <c r="B85" s="3"/>
      <c r="C85" s="3"/>
      <c r="E85" s="10"/>
      <c r="G85" s="3"/>
      <c r="H85" s="3"/>
      <c r="J85" s="10"/>
      <c r="K85" s="5"/>
      <c r="L85" s="5"/>
      <c r="M85" s="5"/>
      <c r="N85" s="5"/>
      <c r="O85" s="5"/>
    </row>
    <row r="86" spans="1:15" s="2" customFormat="1" x14ac:dyDescent="0.35">
      <c r="A86" s="5"/>
      <c r="B86" s="3"/>
      <c r="C86" s="3"/>
      <c r="E86" s="10"/>
      <c r="G86" s="3"/>
      <c r="H86" s="3"/>
      <c r="J86" s="10"/>
      <c r="K86" s="5"/>
      <c r="L86" s="5"/>
      <c r="M86" s="5"/>
      <c r="N86" s="5"/>
      <c r="O86" s="5"/>
    </row>
    <row r="87" spans="1:15" s="2" customFormat="1" x14ac:dyDescent="0.35">
      <c r="A87" s="5"/>
      <c r="B87" s="3"/>
      <c r="C87" s="3"/>
      <c r="E87" s="10"/>
      <c r="G87" s="3"/>
      <c r="H87" s="3"/>
      <c r="J87" s="10"/>
      <c r="K87" s="5"/>
      <c r="L87" s="5"/>
      <c r="M87" s="5"/>
      <c r="N87" s="5"/>
      <c r="O87" s="5"/>
    </row>
    <row r="88" spans="1:15" s="2" customFormat="1" x14ac:dyDescent="0.35">
      <c r="A88" s="5"/>
      <c r="B88" s="3"/>
      <c r="C88" s="3"/>
      <c r="E88" s="10"/>
      <c r="G88" s="3"/>
      <c r="H88" s="3"/>
      <c r="J88" s="10"/>
      <c r="K88" s="5"/>
      <c r="L88" s="5"/>
      <c r="M88" s="5"/>
      <c r="N88" s="5"/>
      <c r="O88" s="5"/>
    </row>
    <row r="89" spans="1:15" s="2" customFormat="1" x14ac:dyDescent="0.35">
      <c r="A89" s="5"/>
      <c r="B89" s="3"/>
      <c r="C89" s="3"/>
      <c r="E89" s="10"/>
      <c r="G89" s="3"/>
      <c r="H89" s="3"/>
      <c r="J89" s="10"/>
      <c r="K89" s="5"/>
      <c r="L89" s="5"/>
      <c r="M89" s="5"/>
      <c r="N89" s="5"/>
      <c r="O89" s="5"/>
    </row>
    <row r="90" spans="1:15" s="2" customFormat="1" x14ac:dyDescent="0.35">
      <c r="A90" s="5"/>
      <c r="B90" s="3"/>
      <c r="C90" s="3"/>
      <c r="E90" s="10"/>
      <c r="G90" s="3"/>
      <c r="H90" s="3"/>
      <c r="J90" s="10"/>
      <c r="K90" s="5"/>
      <c r="L90" s="5"/>
      <c r="M90" s="5"/>
      <c r="N90" s="5"/>
      <c r="O90" s="5"/>
    </row>
    <row r="91" spans="1:15" s="2" customFormat="1" x14ac:dyDescent="0.35">
      <c r="A91" s="5"/>
      <c r="B91" s="3"/>
      <c r="C91" s="3"/>
      <c r="E91" s="10"/>
      <c r="G91" s="3"/>
      <c r="H91" s="3"/>
      <c r="J91" s="10"/>
      <c r="K91" s="5"/>
      <c r="L91" s="5"/>
      <c r="M91" s="5"/>
      <c r="N91" s="5"/>
      <c r="O91" s="5"/>
    </row>
    <row r="92" spans="1:15" s="2" customFormat="1" x14ac:dyDescent="0.35">
      <c r="A92" s="5"/>
      <c r="B92" s="3"/>
      <c r="C92" s="3"/>
      <c r="E92" s="10"/>
      <c r="G92" s="3"/>
      <c r="H92" s="3"/>
      <c r="J92" s="10"/>
      <c r="K92" s="5"/>
      <c r="L92" s="5"/>
      <c r="M92" s="5"/>
      <c r="N92" s="5"/>
      <c r="O92" s="5"/>
    </row>
    <row r="93" spans="1:15" s="2" customFormat="1" x14ac:dyDescent="0.35">
      <c r="A93" s="5"/>
      <c r="B93" s="3"/>
      <c r="C93" s="3"/>
      <c r="E93" s="10"/>
      <c r="G93" s="3"/>
      <c r="H93" s="3"/>
      <c r="J93" s="10"/>
      <c r="K93" s="5"/>
      <c r="L93" s="5"/>
      <c r="M93" s="5"/>
      <c r="N93" s="5"/>
      <c r="O93" s="5"/>
    </row>
    <row r="94" spans="1:15" s="2" customFormat="1" x14ac:dyDescent="0.35">
      <c r="A94" s="5"/>
      <c r="B94" s="3"/>
      <c r="C94" s="3"/>
      <c r="E94" s="10"/>
      <c r="G94" s="3"/>
      <c r="H94" s="3"/>
      <c r="J94" s="10"/>
      <c r="K94" s="5"/>
      <c r="L94" s="5"/>
      <c r="M94" s="5"/>
      <c r="N94" s="5"/>
      <c r="O94" s="5"/>
    </row>
    <row r="95" spans="1:15" s="2" customFormat="1" x14ac:dyDescent="0.35">
      <c r="A95" s="5"/>
      <c r="B95" s="3"/>
      <c r="C95" s="3"/>
      <c r="E95" s="10"/>
      <c r="G95" s="3"/>
      <c r="H95" s="3"/>
      <c r="J95" s="10"/>
      <c r="K95" s="5"/>
      <c r="L95" s="5"/>
      <c r="M95" s="5"/>
      <c r="N95" s="5"/>
      <c r="O95" s="5"/>
    </row>
    <row r="96" spans="1:15" s="2" customFormat="1" x14ac:dyDescent="0.35">
      <c r="A96" s="5"/>
      <c r="B96" s="3"/>
      <c r="C96" s="3"/>
      <c r="E96" s="10"/>
      <c r="G96" s="3"/>
      <c r="H96" s="3"/>
      <c r="J96" s="10"/>
      <c r="K96" s="5"/>
      <c r="L96" s="5"/>
      <c r="M96" s="5"/>
      <c r="N96" s="5"/>
      <c r="O96" s="5"/>
    </row>
    <row r="97" spans="1:15" s="2" customFormat="1" x14ac:dyDescent="0.35">
      <c r="A97" s="5"/>
      <c r="B97" s="3"/>
      <c r="C97" s="3"/>
      <c r="E97" s="10"/>
      <c r="G97" s="3"/>
      <c r="H97" s="3"/>
      <c r="J97" s="10"/>
      <c r="K97" s="5"/>
      <c r="L97" s="5"/>
      <c r="M97" s="5"/>
      <c r="N97" s="5"/>
      <c r="O97" s="5"/>
    </row>
    <row r="98" spans="1:15" s="2" customFormat="1" x14ac:dyDescent="0.35">
      <c r="A98" s="5"/>
      <c r="B98" s="3"/>
      <c r="C98" s="3"/>
      <c r="E98" s="10"/>
      <c r="G98" s="3"/>
      <c r="H98" s="3"/>
      <c r="J98" s="10"/>
      <c r="K98" s="5"/>
      <c r="L98" s="5"/>
      <c r="M98" s="5"/>
      <c r="N98" s="5"/>
      <c r="O98" s="5"/>
    </row>
    <row r="99" spans="1:15" s="2" customFormat="1" x14ac:dyDescent="0.35">
      <c r="A99" s="5"/>
      <c r="B99" s="3"/>
      <c r="C99" s="3"/>
      <c r="E99" s="10"/>
      <c r="G99" s="3"/>
      <c r="H99" s="3"/>
      <c r="J99" s="10"/>
      <c r="K99" s="5"/>
      <c r="L99" s="5"/>
      <c r="M99" s="5"/>
      <c r="N99" s="5"/>
      <c r="O99" s="5"/>
    </row>
    <row r="100" spans="1:15" s="2" customFormat="1" x14ac:dyDescent="0.35">
      <c r="A100" s="5"/>
      <c r="B100" s="3"/>
      <c r="C100" s="3"/>
      <c r="E100" s="10"/>
      <c r="G100" s="3"/>
      <c r="H100" s="3"/>
      <c r="J100" s="10"/>
      <c r="K100" s="5"/>
      <c r="L100" s="5"/>
      <c r="M100" s="5"/>
      <c r="N100" s="5"/>
      <c r="O100" s="5"/>
    </row>
    <row r="101" spans="1:15" s="2" customFormat="1" x14ac:dyDescent="0.35">
      <c r="A101" s="5"/>
      <c r="B101" s="3"/>
      <c r="C101" s="3"/>
      <c r="E101" s="10"/>
      <c r="G101" s="3"/>
      <c r="H101" s="3"/>
      <c r="J101" s="10"/>
      <c r="K101" s="5"/>
      <c r="L101" s="5"/>
      <c r="M101" s="5"/>
      <c r="N101" s="5"/>
      <c r="O101" s="5"/>
    </row>
    <row r="102" spans="1:15" s="2" customFormat="1" x14ac:dyDescent="0.35">
      <c r="A102" s="5"/>
      <c r="B102" s="3"/>
      <c r="C102" s="3"/>
      <c r="E102" s="10"/>
      <c r="G102" s="3"/>
      <c r="H102" s="3"/>
      <c r="J102" s="10"/>
      <c r="K102" s="5"/>
      <c r="L102" s="5"/>
      <c r="M102" s="5"/>
      <c r="N102" s="5"/>
      <c r="O102" s="5"/>
    </row>
    <row r="103" spans="1:15" s="2" customFormat="1" x14ac:dyDescent="0.35">
      <c r="A103" s="5"/>
      <c r="B103" s="3"/>
      <c r="C103" s="3"/>
      <c r="E103" s="10"/>
      <c r="G103" s="3"/>
      <c r="H103" s="3"/>
      <c r="J103" s="10"/>
      <c r="K103" s="5"/>
      <c r="L103" s="5"/>
      <c r="M103" s="5"/>
      <c r="N103" s="5"/>
      <c r="O103" s="5"/>
    </row>
    <row r="104" spans="1:15" s="2" customFormat="1" x14ac:dyDescent="0.35">
      <c r="A104" s="5"/>
      <c r="B104" s="3"/>
      <c r="C104" s="3"/>
      <c r="E104" s="10"/>
      <c r="G104" s="3"/>
      <c r="H104" s="3"/>
      <c r="J104" s="10"/>
      <c r="K104" s="5"/>
      <c r="L104" s="5"/>
      <c r="M104" s="5"/>
      <c r="N104" s="5"/>
      <c r="O104" s="5"/>
    </row>
    <row r="105" spans="1:15" s="2" customFormat="1" x14ac:dyDescent="0.35">
      <c r="A105" s="5"/>
      <c r="B105" s="3"/>
      <c r="C105" s="3"/>
      <c r="E105" s="10"/>
      <c r="G105" s="3"/>
      <c r="H105" s="3"/>
      <c r="J105" s="10"/>
      <c r="K105" s="5"/>
      <c r="L105" s="5"/>
      <c r="M105" s="5"/>
      <c r="N105" s="5"/>
      <c r="O105" s="5"/>
    </row>
    <row r="106" spans="1:15" s="2" customFormat="1" x14ac:dyDescent="0.35">
      <c r="A106" s="5"/>
      <c r="B106" s="3"/>
      <c r="C106" s="3"/>
      <c r="E106" s="10"/>
      <c r="G106" s="3"/>
      <c r="H106" s="3"/>
      <c r="J106" s="10"/>
      <c r="K106" s="5"/>
      <c r="L106" s="5"/>
      <c r="M106" s="5"/>
      <c r="N106" s="5"/>
      <c r="O106" s="5"/>
    </row>
    <row r="107" spans="1:15" s="2" customFormat="1" x14ac:dyDescent="0.35">
      <c r="A107" s="5"/>
      <c r="B107" s="3"/>
      <c r="C107" s="3"/>
      <c r="E107" s="10"/>
      <c r="G107" s="3"/>
      <c r="H107" s="3"/>
      <c r="J107" s="10"/>
      <c r="K107" s="5"/>
      <c r="L107" s="5"/>
      <c r="M107" s="5"/>
      <c r="N107" s="5"/>
      <c r="O107" s="5"/>
    </row>
    <row r="108" spans="1:15" s="2" customFormat="1" x14ac:dyDescent="0.35">
      <c r="A108" s="5"/>
      <c r="B108" s="3"/>
      <c r="C108" s="3"/>
      <c r="E108" s="10"/>
      <c r="G108" s="3"/>
      <c r="H108" s="3"/>
      <c r="J108" s="10"/>
      <c r="K108" s="5"/>
      <c r="L108" s="5"/>
      <c r="M108" s="5"/>
      <c r="N108" s="5"/>
      <c r="O108" s="5"/>
    </row>
    <row r="109" spans="1:15" s="2" customFormat="1" x14ac:dyDescent="0.35">
      <c r="A109" s="5"/>
      <c r="B109" s="3"/>
      <c r="C109" s="3"/>
      <c r="E109" s="10"/>
      <c r="G109" s="3"/>
      <c r="H109" s="3"/>
      <c r="J109" s="10"/>
      <c r="K109" s="5"/>
      <c r="L109" s="5"/>
      <c r="M109" s="5"/>
      <c r="N109" s="5"/>
      <c r="O109" s="5"/>
    </row>
    <row r="110" spans="1:15" s="2" customFormat="1" x14ac:dyDescent="0.35">
      <c r="A110" s="5"/>
      <c r="B110" s="3"/>
      <c r="C110" s="3"/>
      <c r="E110" s="10"/>
      <c r="G110" s="3"/>
      <c r="H110" s="3"/>
      <c r="J110" s="10"/>
      <c r="K110" s="5"/>
      <c r="L110" s="5"/>
      <c r="M110" s="5"/>
      <c r="N110" s="5"/>
      <c r="O110" s="5"/>
    </row>
    <row r="111" spans="1:15" s="2" customFormat="1" x14ac:dyDescent="0.35">
      <c r="A111" s="5"/>
      <c r="B111" s="3"/>
      <c r="C111" s="3"/>
      <c r="E111" s="10"/>
      <c r="G111" s="3"/>
      <c r="H111" s="3"/>
      <c r="J111" s="10"/>
      <c r="K111" s="5"/>
      <c r="L111" s="5"/>
      <c r="M111" s="5"/>
      <c r="N111" s="5"/>
      <c r="O111" s="5"/>
    </row>
    <row r="112" spans="1:15" s="2" customFormat="1" x14ac:dyDescent="0.35">
      <c r="A112" s="5"/>
      <c r="B112" s="3"/>
      <c r="C112" s="3"/>
      <c r="E112" s="10"/>
      <c r="G112" s="3"/>
      <c r="H112" s="3"/>
      <c r="J112" s="10"/>
      <c r="K112" s="5"/>
      <c r="L112" s="5"/>
      <c r="M112" s="5"/>
      <c r="N112" s="5"/>
      <c r="O112" s="5"/>
    </row>
    <row r="113" spans="1:15" s="2" customFormat="1" x14ac:dyDescent="0.35">
      <c r="A113" s="5"/>
      <c r="B113" s="3"/>
      <c r="C113" s="3"/>
      <c r="E113" s="10"/>
      <c r="G113" s="3"/>
      <c r="H113" s="3"/>
      <c r="J113" s="10"/>
      <c r="K113" s="5"/>
      <c r="L113" s="5"/>
      <c r="M113" s="5"/>
      <c r="N113" s="5"/>
      <c r="O113" s="5"/>
    </row>
    <row r="114" spans="1:15" s="2" customFormat="1" x14ac:dyDescent="0.35">
      <c r="A114" s="5"/>
      <c r="B114" s="3"/>
      <c r="C114" s="3"/>
      <c r="E114" s="10"/>
      <c r="G114" s="3"/>
      <c r="H114" s="3"/>
      <c r="J114" s="10"/>
      <c r="K114" s="5"/>
      <c r="L114" s="5"/>
      <c r="M114" s="5"/>
      <c r="N114" s="5"/>
      <c r="O114" s="5"/>
    </row>
    <row r="115" spans="1:15" s="2" customFormat="1" x14ac:dyDescent="0.35">
      <c r="A115" s="5"/>
      <c r="B115" s="3"/>
      <c r="C115" s="3"/>
      <c r="E115" s="10"/>
      <c r="G115" s="3"/>
      <c r="H115" s="3"/>
      <c r="J115" s="10"/>
      <c r="K115" s="5"/>
      <c r="L115" s="5"/>
      <c r="M115" s="5"/>
      <c r="N115" s="5"/>
      <c r="O115" s="5"/>
    </row>
    <row r="116" spans="1:15" s="2" customFormat="1" x14ac:dyDescent="0.35">
      <c r="A116" s="5"/>
      <c r="B116" s="3"/>
      <c r="C116" s="3"/>
      <c r="E116" s="10"/>
      <c r="G116" s="3"/>
      <c r="H116" s="3"/>
      <c r="J116" s="10"/>
      <c r="K116" s="5"/>
      <c r="L116" s="5"/>
      <c r="M116" s="5"/>
      <c r="N116" s="5"/>
      <c r="O116" s="5"/>
    </row>
    <row r="117" spans="1:15" s="2" customFormat="1" x14ac:dyDescent="0.35">
      <c r="A117" s="5"/>
      <c r="B117" s="3"/>
      <c r="C117" s="3"/>
      <c r="E117" s="10"/>
      <c r="G117" s="3"/>
      <c r="H117" s="3"/>
      <c r="J117" s="10"/>
      <c r="K117" s="5"/>
      <c r="L117" s="5"/>
      <c r="M117" s="5"/>
      <c r="N117" s="5"/>
      <c r="O117" s="5"/>
    </row>
    <row r="118" spans="1:15" s="2" customFormat="1" x14ac:dyDescent="0.35">
      <c r="A118" s="5"/>
      <c r="B118" s="3"/>
      <c r="C118" s="3"/>
      <c r="E118" s="10"/>
      <c r="G118" s="3"/>
      <c r="H118" s="3"/>
      <c r="J118" s="10"/>
      <c r="K118" s="5"/>
      <c r="L118" s="5"/>
      <c r="M118" s="5"/>
      <c r="N118" s="5"/>
      <c r="O118" s="5"/>
    </row>
    <row r="119" spans="1:15" s="2" customFormat="1" x14ac:dyDescent="0.35">
      <c r="A119" s="5"/>
      <c r="B119" s="3"/>
      <c r="C119" s="3"/>
      <c r="E119" s="10"/>
      <c r="G119" s="3"/>
      <c r="H119" s="3"/>
      <c r="J119" s="10"/>
      <c r="K119" s="5"/>
      <c r="L119" s="5"/>
      <c r="M119" s="5"/>
      <c r="N119" s="5"/>
      <c r="O119" s="5"/>
    </row>
    <row r="120" spans="1:15" s="2" customFormat="1" x14ac:dyDescent="0.35">
      <c r="A120" s="5"/>
      <c r="B120" s="3"/>
      <c r="C120" s="3"/>
      <c r="E120" s="10"/>
      <c r="G120" s="3"/>
      <c r="H120" s="3"/>
      <c r="J120" s="10"/>
      <c r="K120" s="5"/>
      <c r="L120" s="5"/>
      <c r="M120" s="5"/>
      <c r="N120" s="5"/>
      <c r="O120" s="5"/>
    </row>
    <row r="121" spans="1:15" s="2" customFormat="1" x14ac:dyDescent="0.35">
      <c r="A121" s="5"/>
      <c r="B121" s="3"/>
      <c r="C121" s="3"/>
      <c r="E121" s="10"/>
      <c r="G121" s="3"/>
      <c r="H121" s="3"/>
      <c r="J121" s="10"/>
      <c r="K121" s="5"/>
      <c r="L121" s="5"/>
      <c r="M121" s="5"/>
      <c r="N121" s="5"/>
      <c r="O121" s="5"/>
    </row>
    <row r="122" spans="1:15" s="2" customFormat="1" x14ac:dyDescent="0.35">
      <c r="A122" s="5"/>
      <c r="B122" s="3"/>
      <c r="C122" s="3"/>
      <c r="E122" s="10"/>
      <c r="G122" s="3"/>
      <c r="H122" s="3"/>
      <c r="J122" s="10"/>
      <c r="K122" s="5"/>
      <c r="L122" s="5"/>
      <c r="M122" s="5"/>
      <c r="N122" s="5"/>
      <c r="O122" s="5"/>
    </row>
    <row r="123" spans="1:15" s="2" customFormat="1" x14ac:dyDescent="0.35">
      <c r="A123" s="5"/>
      <c r="B123" s="3"/>
      <c r="C123" s="3"/>
      <c r="E123" s="10"/>
      <c r="G123" s="3"/>
      <c r="H123" s="3"/>
      <c r="J123" s="10"/>
      <c r="K123" s="5"/>
      <c r="L123" s="5"/>
      <c r="M123" s="5"/>
      <c r="N123" s="5"/>
      <c r="O123" s="5"/>
    </row>
    <row r="124" spans="1:15" s="2" customFormat="1" x14ac:dyDescent="0.35">
      <c r="A124" s="5"/>
      <c r="B124" s="3"/>
      <c r="C124" s="3"/>
      <c r="E124" s="10"/>
      <c r="G124" s="3"/>
      <c r="H124" s="3"/>
      <c r="J124" s="10"/>
      <c r="K124" s="5"/>
      <c r="L124" s="5"/>
      <c r="M124" s="5"/>
      <c r="N124" s="5"/>
      <c r="O124" s="5"/>
    </row>
    <row r="125" spans="1:15" s="2" customFormat="1" x14ac:dyDescent="0.35">
      <c r="A125" s="5"/>
      <c r="B125" s="3"/>
      <c r="C125" s="3"/>
      <c r="E125" s="10"/>
      <c r="G125" s="3"/>
      <c r="H125" s="3"/>
      <c r="J125" s="10"/>
      <c r="K125" s="5"/>
      <c r="L125" s="5"/>
      <c r="M125" s="5"/>
      <c r="N125" s="5"/>
      <c r="O125" s="5"/>
    </row>
    <row r="126" spans="1:15" s="2" customFormat="1" x14ac:dyDescent="0.35">
      <c r="A126" s="5"/>
      <c r="B126" s="3"/>
      <c r="C126" s="3"/>
      <c r="E126" s="10"/>
      <c r="G126" s="3"/>
      <c r="H126" s="3"/>
      <c r="J126" s="10"/>
      <c r="K126" s="5"/>
      <c r="L126" s="5"/>
      <c r="M126" s="5"/>
      <c r="N126" s="5"/>
      <c r="O126" s="5"/>
    </row>
    <row r="127" spans="1:15" s="2" customFormat="1" x14ac:dyDescent="0.35">
      <c r="A127" s="5"/>
      <c r="B127" s="3"/>
      <c r="C127" s="3"/>
      <c r="E127" s="10"/>
      <c r="G127" s="3"/>
      <c r="H127" s="3"/>
      <c r="J127" s="10"/>
      <c r="K127" s="5"/>
      <c r="L127" s="5"/>
      <c r="M127" s="5"/>
      <c r="N127" s="5"/>
      <c r="O127" s="5"/>
    </row>
    <row r="128" spans="1:15" s="2" customFormat="1" x14ac:dyDescent="0.35">
      <c r="A128" s="5"/>
      <c r="B128" s="3"/>
      <c r="C128" s="3"/>
      <c r="E128" s="10"/>
      <c r="G128" s="3"/>
      <c r="H128" s="3"/>
      <c r="J128" s="10"/>
      <c r="K128" s="5"/>
      <c r="L128" s="5"/>
      <c r="M128" s="5"/>
      <c r="N128" s="5"/>
      <c r="O128" s="5"/>
    </row>
    <row r="129" spans="1:15" s="2" customFormat="1" x14ac:dyDescent="0.35">
      <c r="A129" s="5"/>
      <c r="B129" s="3"/>
      <c r="C129" s="3"/>
      <c r="E129" s="10"/>
      <c r="G129" s="3"/>
      <c r="H129" s="3"/>
      <c r="J129" s="10"/>
      <c r="K129" s="5"/>
      <c r="L129" s="5"/>
      <c r="M129" s="5"/>
      <c r="N129" s="5"/>
      <c r="O129" s="5"/>
    </row>
    <row r="130" spans="1:15" s="2" customFormat="1" x14ac:dyDescent="0.35">
      <c r="A130" s="5"/>
      <c r="B130" s="3"/>
      <c r="C130" s="3"/>
      <c r="E130" s="10"/>
      <c r="G130" s="3"/>
      <c r="H130" s="3"/>
      <c r="J130" s="10"/>
      <c r="K130" s="5"/>
      <c r="L130" s="5"/>
      <c r="M130" s="5"/>
      <c r="N130" s="5"/>
      <c r="O130" s="5"/>
    </row>
    <row r="131" spans="1:15" s="2" customFormat="1" x14ac:dyDescent="0.35">
      <c r="A131" s="5"/>
      <c r="B131" s="3"/>
      <c r="C131" s="3"/>
      <c r="E131" s="10"/>
      <c r="G131" s="3"/>
      <c r="H131" s="3"/>
      <c r="J131" s="10"/>
      <c r="K131" s="5"/>
      <c r="L131" s="5"/>
      <c r="M131" s="5"/>
      <c r="N131" s="5"/>
      <c r="O131" s="5"/>
    </row>
    <row r="132" spans="1:15" s="2" customFormat="1" x14ac:dyDescent="0.35">
      <c r="A132" s="5"/>
      <c r="B132" s="3"/>
      <c r="C132" s="3"/>
      <c r="E132" s="10"/>
      <c r="G132" s="3"/>
      <c r="H132" s="3"/>
      <c r="J132" s="10"/>
      <c r="K132" s="5"/>
      <c r="L132" s="5"/>
      <c r="M132" s="5"/>
      <c r="N132" s="5"/>
      <c r="O132" s="5"/>
    </row>
    <row r="133" spans="1:15" s="2" customFormat="1" x14ac:dyDescent="0.35">
      <c r="A133" s="5"/>
      <c r="B133" s="3"/>
      <c r="C133" s="3"/>
      <c r="E133" s="10"/>
      <c r="G133" s="3"/>
      <c r="H133" s="3"/>
      <c r="J133" s="10"/>
      <c r="K133" s="5"/>
      <c r="L133" s="5"/>
      <c r="M133" s="5"/>
      <c r="N133" s="5"/>
      <c r="O133" s="5"/>
    </row>
  </sheetData>
  <mergeCells count="1">
    <mergeCell ref="H3:J3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workbookViewId="0">
      <selection activeCell="C3" sqref="C3"/>
    </sheetView>
  </sheetViews>
  <sheetFormatPr defaultRowHeight="18" x14ac:dyDescent="0.35"/>
  <cols>
    <col min="3" max="3" width="9.75" customWidth="1"/>
    <col min="4" max="4" width="9.33203125" customWidth="1"/>
    <col min="5" max="5" width="16.6640625" customWidth="1"/>
  </cols>
  <sheetData>
    <row r="2" spans="2:5" x14ac:dyDescent="0.35">
      <c r="B2" t="s">
        <v>5</v>
      </c>
      <c r="C2" t="s">
        <v>6</v>
      </c>
      <c r="D2" t="s">
        <v>7</v>
      </c>
      <c r="E2" t="s">
        <v>8</v>
      </c>
    </row>
    <row r="3" spans="2:5" x14ac:dyDescent="0.35">
      <c r="B3" s="23">
        <f>SUM(Table1[Amount])</f>
        <v>19500</v>
      </c>
      <c r="C3" s="23">
        <f>SUM(Table2[Amount])</f>
        <v>20190</v>
      </c>
      <c r="D3" s="23" t="str">
        <f>IF(B3&gt;C3,B3-C3,"0")</f>
        <v>0</v>
      </c>
      <c r="E3" s="23">
        <f>IF(B3&lt;C3,C3-B3,"No Loss")</f>
        <v>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zoomScale="115" zoomScaleNormal="115" workbookViewId="0">
      <selection activeCell="C16" sqref="C16"/>
    </sheetView>
  </sheetViews>
  <sheetFormatPr defaultRowHeight="18" x14ac:dyDescent="0.35"/>
  <cols>
    <col min="1" max="1" width="3.1640625" customWidth="1"/>
    <col min="2" max="2" width="5.25" style="1" customWidth="1"/>
    <col min="3" max="3" width="12.25" customWidth="1"/>
    <col min="4" max="4" width="21.4140625" customWidth="1"/>
    <col min="5" max="5" width="9.33203125" customWidth="1"/>
    <col min="6" max="6" width="3.83203125" customWidth="1"/>
    <col min="7" max="7" width="5.25" style="1" customWidth="1"/>
    <col min="8" max="8" width="12.25" customWidth="1"/>
    <col min="9" max="9" width="21.4140625" customWidth="1"/>
    <col min="10" max="10" width="9.33203125" customWidth="1"/>
  </cols>
  <sheetData>
    <row r="2" spans="2:10" x14ac:dyDescent="0.35">
      <c r="B2" s="3"/>
      <c r="C2" s="2"/>
      <c r="D2" s="2"/>
      <c r="E2" s="2"/>
      <c r="F2" s="2"/>
      <c r="G2" s="3"/>
      <c r="H2" s="2"/>
      <c r="I2" s="2"/>
      <c r="J2" s="2"/>
    </row>
    <row r="3" spans="2:10" ht="21.6" thickBot="1" x14ac:dyDescent="0.45">
      <c r="B3" s="37" t="s">
        <v>9</v>
      </c>
      <c r="C3" s="24"/>
      <c r="D3" s="24"/>
      <c r="E3" s="24"/>
      <c r="F3" s="24"/>
      <c r="G3" s="38" t="s">
        <v>10</v>
      </c>
      <c r="H3" s="38"/>
      <c r="I3" s="38"/>
      <c r="J3" s="38"/>
    </row>
    <row r="4" spans="2:10" ht="18.600000000000001" thickTop="1" x14ac:dyDescent="0.35">
      <c r="B4" s="3"/>
      <c r="C4" s="2"/>
      <c r="D4" s="2"/>
      <c r="E4" s="2"/>
      <c r="F4" s="2"/>
      <c r="G4" s="3"/>
      <c r="H4" s="2"/>
      <c r="I4" s="2"/>
      <c r="J4" s="2"/>
    </row>
    <row r="5" spans="2:10" x14ac:dyDescent="0.35">
      <c r="B5" s="3"/>
      <c r="C5" s="2"/>
      <c r="D5" s="2"/>
      <c r="E5" s="2"/>
      <c r="F5" s="2"/>
      <c r="G5" s="3"/>
      <c r="H5" s="2"/>
      <c r="I5" s="2"/>
      <c r="J5" s="2"/>
    </row>
    <row r="6" spans="2:10" x14ac:dyDescent="0.35">
      <c r="B6" s="3"/>
      <c r="C6" s="2"/>
      <c r="D6" s="2"/>
      <c r="E6" s="2"/>
      <c r="F6" s="2"/>
      <c r="G6" s="3"/>
      <c r="H6" s="2"/>
      <c r="I6" s="2"/>
      <c r="J6" s="2"/>
    </row>
    <row r="7" spans="2:10" x14ac:dyDescent="0.35">
      <c r="B7" s="3"/>
      <c r="C7" s="2"/>
      <c r="D7" s="2"/>
      <c r="E7" s="2"/>
      <c r="F7" s="2"/>
      <c r="G7" s="3"/>
      <c r="H7" s="2"/>
      <c r="I7" s="2"/>
      <c r="J7" s="2"/>
    </row>
    <row r="8" spans="2:10" x14ac:dyDescent="0.35">
      <c r="B8" s="3"/>
      <c r="C8" s="2"/>
      <c r="D8" s="2"/>
      <c r="E8" s="2"/>
      <c r="F8" s="2"/>
      <c r="G8" s="3"/>
      <c r="H8" s="2"/>
      <c r="I8" s="2"/>
      <c r="J8" s="2"/>
    </row>
    <row r="9" spans="2:10" x14ac:dyDescent="0.35">
      <c r="B9" s="26"/>
      <c r="C9" s="25"/>
      <c r="D9" s="25"/>
      <c r="E9" s="25"/>
      <c r="F9" s="25"/>
      <c r="G9" s="26"/>
      <c r="H9" s="25"/>
      <c r="I9" s="25"/>
      <c r="J9" s="25"/>
    </row>
    <row r="11" spans="2:10" x14ac:dyDescent="0.35">
      <c r="B11" s="27" t="s">
        <v>0</v>
      </c>
      <c r="C11" s="28" t="s">
        <v>4</v>
      </c>
      <c r="D11" s="29" t="s">
        <v>1</v>
      </c>
      <c r="E11" s="30" t="s">
        <v>2</v>
      </c>
      <c r="G11" s="27" t="s">
        <v>0</v>
      </c>
      <c r="H11" s="28" t="s">
        <v>4</v>
      </c>
      <c r="I11" s="29" t="s">
        <v>3</v>
      </c>
      <c r="J11" s="30" t="s">
        <v>2</v>
      </c>
    </row>
    <row r="12" spans="2:10" x14ac:dyDescent="0.35">
      <c r="B12" s="31"/>
      <c r="C12" s="32"/>
      <c r="D12" s="32"/>
      <c r="E12" s="33">
        <v>20000</v>
      </c>
      <c r="G12" s="31"/>
      <c r="H12" s="32"/>
      <c r="I12" s="32"/>
      <c r="J12" s="33">
        <v>200</v>
      </c>
    </row>
    <row r="13" spans="2:10" x14ac:dyDescent="0.35">
      <c r="B13" s="34"/>
      <c r="C13" s="35"/>
      <c r="D13" s="35"/>
      <c r="E13" s="36"/>
      <c r="G13" s="34"/>
      <c r="H13" s="35"/>
      <c r="I13" s="35"/>
      <c r="J13" s="36">
        <v>300</v>
      </c>
    </row>
    <row r="14" spans="2:10" x14ac:dyDescent="0.35">
      <c r="G14" s="34"/>
      <c r="H14" s="35"/>
      <c r="I14" s="35"/>
      <c r="J14" s="36">
        <v>4000</v>
      </c>
    </row>
    <row r="15" spans="2:10" x14ac:dyDescent="0.35">
      <c r="G15" s="34"/>
      <c r="H15" s="35"/>
      <c r="I15" s="35"/>
      <c r="J15" s="36">
        <v>23000</v>
      </c>
    </row>
  </sheetData>
  <mergeCells count="1">
    <mergeCell ref="G3:J3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"/>
  <sheetViews>
    <sheetView workbookViewId="0">
      <selection activeCell="B4" sqref="B4"/>
    </sheetView>
  </sheetViews>
  <sheetFormatPr defaultRowHeight="18" x14ac:dyDescent="0.35"/>
  <sheetData>
    <row r="3" spans="2:5" x14ac:dyDescent="0.35">
      <c r="B3" t="s">
        <v>11</v>
      </c>
      <c r="C3" t="s">
        <v>12</v>
      </c>
      <c r="D3" t="s">
        <v>7</v>
      </c>
      <c r="E3" t="s">
        <v>8</v>
      </c>
    </row>
    <row r="4" spans="2:5" x14ac:dyDescent="0.35">
      <c r="B4">
        <f>SUM(Table3[Amount])</f>
        <v>20000</v>
      </c>
      <c r="C4">
        <f>SUM(Table4[Amount])</f>
        <v>27500</v>
      </c>
      <c r="D4">
        <f>IF(B4&gt;C4,B4-C4,0)</f>
        <v>0</v>
      </c>
      <c r="E4">
        <f>IF(B4&lt;C4,C4-B4,0)</f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Nehra</dc:creator>
  <cp:lastModifiedBy>hp</cp:lastModifiedBy>
  <dcterms:created xsi:type="dcterms:W3CDTF">2021-12-08T14:03:22Z</dcterms:created>
  <dcterms:modified xsi:type="dcterms:W3CDTF">2026-02-09T14:11:56Z</dcterms:modified>
</cp:coreProperties>
</file>